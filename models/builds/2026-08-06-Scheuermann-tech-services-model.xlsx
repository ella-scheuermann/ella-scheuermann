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ellascheuermann/Desktop/Spring 2026/FIN311/"/>
    </mc:Choice>
  </mc:AlternateContent>
  <xr:revisionPtr revIDLastSave="0" documentId="8_{00E46F36-4700-0543-8C36-C89138119914}" xr6:coauthVersionLast="47" xr6:coauthVersionMax="47" xr10:uidLastSave="{00000000-0000-0000-0000-000000000000}"/>
  <bookViews>
    <workbookView xWindow="0" yWindow="740" windowWidth="21680" windowHeight="14000" tabRatio="500" xr2:uid="{00000000-000D-0000-FFFF-FFFF00000000}"/>
  </bookViews>
  <sheets>
    <sheet name="Cover" sheetId="1" r:id="rId1"/>
    <sheet name="Legend-Key" sheetId="2" r:id="rId2"/>
    <sheet name="Inputs" sheetId="3" r:id="rId3"/>
    <sheet name="Forward Hedge" sheetId="4" r:id="rId4"/>
    <sheet name="Money Market Hedge" sheetId="5" r:id="rId5"/>
    <sheet name="Option Hedge" sheetId="6" r:id="rId6"/>
    <sheet name="Sensitivity Analysis" sheetId="7" r:id="rId7"/>
    <sheet name="Notes-Assumptions" sheetId="8" r:id="rId8"/>
  </sheets>
  <definedNames>
    <definedName name="F0_in">Inputs!$C$8</definedName>
    <definedName name="FC_AMT">Inputs!$C$6</definedName>
    <definedName name="K_CALL">Inputs!$C$12</definedName>
    <definedName name="K_PUT">Inputs!$C$11</definedName>
    <definedName name="PREM_CALL">Inputs!$C$14</definedName>
    <definedName name="PREM_PUT">Inputs!$C$13</definedName>
    <definedName name="R_FC">Inputs!$C$10</definedName>
    <definedName name="R_USD">Inputs!$C$9</definedName>
    <definedName name="S0_in">Inputs!$C$7</definedName>
    <definedName name="T_DAYS">Inputs!$C$15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2" i="8" l="1"/>
  <c r="C22" i="8"/>
  <c r="D19" i="8"/>
  <c r="C19" i="8"/>
  <c r="D15" i="8"/>
  <c r="C15" i="8"/>
  <c r="E16" i="7"/>
  <c r="C16" i="7"/>
  <c r="G16" i="7" s="1"/>
  <c r="G15" i="7"/>
  <c r="D15" i="7"/>
  <c r="C15" i="7"/>
  <c r="G14" i="7"/>
  <c r="E14" i="7"/>
  <c r="D14" i="7"/>
  <c r="C14" i="7"/>
  <c r="C13" i="7"/>
  <c r="G13" i="7" s="1"/>
  <c r="G12" i="7"/>
  <c r="C12" i="7"/>
  <c r="D12" i="7" s="1"/>
  <c r="G11" i="7"/>
  <c r="E11" i="7"/>
  <c r="C11" i="7"/>
  <c r="D11" i="7" s="1"/>
  <c r="C10" i="7"/>
  <c r="G10" i="7" s="1"/>
  <c r="G9" i="7"/>
  <c r="E9" i="7"/>
  <c r="C9" i="7"/>
  <c r="D9" i="7" s="1"/>
  <c r="E8" i="7"/>
  <c r="C8" i="7"/>
  <c r="D8" i="7" s="1"/>
  <c r="G7" i="7"/>
  <c r="C7" i="7"/>
  <c r="D7" i="7" s="1"/>
  <c r="G6" i="7"/>
  <c r="E6" i="7"/>
  <c r="D6" i="7"/>
  <c r="C6" i="7"/>
  <c r="D21" i="8" s="1"/>
  <c r="D17" i="6"/>
  <c r="D16" i="6"/>
  <c r="D18" i="6" s="1"/>
  <c r="D11" i="6"/>
  <c r="D10" i="6"/>
  <c r="D12" i="6" s="1"/>
  <c r="D18" i="5"/>
  <c r="D12" i="5"/>
  <c r="D11" i="5"/>
  <c r="D13" i="5" s="1"/>
  <c r="D6" i="5"/>
  <c r="D7" i="5" s="1"/>
  <c r="D8" i="5" s="1"/>
  <c r="B9" i="4"/>
  <c r="E12" i="7" s="1"/>
  <c r="B7" i="4"/>
  <c r="B6" i="4"/>
  <c r="C17" i="8" l="1"/>
  <c r="D15" i="5"/>
  <c r="D17" i="8" s="1"/>
  <c r="F15" i="7"/>
  <c r="F7" i="7"/>
  <c r="D19" i="5"/>
  <c r="D20" i="5" s="1"/>
  <c r="F10" i="7"/>
  <c r="F8" i="7"/>
  <c r="F11" i="7"/>
  <c r="F14" i="7"/>
  <c r="D18" i="8"/>
  <c r="F9" i="7"/>
  <c r="F12" i="7"/>
  <c r="F13" i="7"/>
  <c r="F6" i="7"/>
  <c r="D20" i="7" s="1"/>
  <c r="D21" i="7" s="1"/>
  <c r="C18" i="8"/>
  <c r="F16" i="7"/>
  <c r="E13" i="7"/>
  <c r="D16" i="7"/>
  <c r="G8" i="7"/>
  <c r="E10" i="7"/>
  <c r="D13" i="7"/>
  <c r="E7" i="7"/>
  <c r="E15" i="7"/>
  <c r="D18" i="7"/>
  <c r="C21" i="8"/>
  <c r="D10" i="7"/>
  <c r="D22" i="5" l="1"/>
  <c r="D16" i="8" s="1"/>
  <c r="C16" i="8"/>
  <c r="D19" i="7"/>
  <c r="D20" i="8" s="1"/>
  <c r="C20" i="8"/>
</calcChain>
</file>

<file path=xl/sharedStrings.xml><?xml version="1.0" encoding="utf-8"?>
<sst xmlns="http://schemas.openxmlformats.org/spreadsheetml/2006/main" count="221" uniqueCount="177">
  <si>
    <t>Stage 2 FX Hedging Model Specification — Build</t>
  </si>
  <si>
    <t>U.S. Technology Services Firm | EUR Receivable Hedging Analysis</t>
  </si>
  <si>
    <t>Scenario:</t>
  </si>
  <si>
    <t>U.S. Tech Services Firm</t>
  </si>
  <si>
    <t>Exposure:</t>
  </si>
  <si>
    <t>EUR 12,500,000 receivable</t>
  </si>
  <si>
    <t>Settlement Horizon:</t>
  </si>
  <si>
    <t>One year (360 days, ACT/360 convention)</t>
  </si>
  <si>
    <t>Author:</t>
  </si>
  <si>
    <t>Ella Scheuermann</t>
  </si>
  <si>
    <t>Build Date:</t>
  </si>
  <si>
    <t>August 06, 2026</t>
  </si>
  <si>
    <t>Workbook Version:</t>
  </si>
  <si>
    <t>v1.0 — Stage 2 (Indicative Data)</t>
  </si>
  <si>
    <t>Data Provenance</t>
  </si>
  <si>
    <t>All market inputs in this Stage 2 workbook (spot rate, forward rate, U.S. interest rate, euro interest rate, option strikes, and option premiums) are INDICATIVE PLACEHOLDER VALUES supplied for modeling purposes only. They are clearly labeled throughout the workbook as "Indicative — replaced with live market data at Stage 4." At Stage 4, these placeholder values will be replaced with live, sourced market data (e.g., Yahoo Finance spot quotes, forward FX quotes, U.S. Treasury and European reference yields, and live option market quotes) without altering the workbook's structure, named ranges, or formulas.</t>
  </si>
  <si>
    <t>R_FC correction: the euro annual interest rate placeholder has been set to 2.576% per instructor correction, replacing the TBD placeholder in the original specification.</t>
  </si>
  <si>
    <t>See the 'Legend-Key' tab for the workbook's color convention and named-range reference, and the 'Notes-Assumptions' tab for full modeling assumptions and the validation summary.</t>
  </si>
  <si>
    <t>Legend &amp; Key</t>
  </si>
  <si>
    <t>Color Convention</t>
  </si>
  <si>
    <t>Color</t>
  </si>
  <si>
    <t>Meaning</t>
  </si>
  <si>
    <t>Example Usage</t>
  </si>
  <si>
    <t>Inputs</t>
  </si>
  <si>
    <t>Editable market/scenario values — Inputs tab, S_T on Option Hedge tab</t>
  </si>
  <si>
    <t>Assumptions</t>
  </si>
  <si>
    <t>Tolerances, day-count convention, modeling assumptions</t>
  </si>
  <si>
    <t>Formulas</t>
  </si>
  <si>
    <t>Intermediate calculation cells (e.g., MM hedge steps, gross premiums)</t>
  </si>
  <si>
    <t>Outputs / KPIs</t>
  </si>
  <si>
    <t>Headline results (e.g., Forward Proceeds, Net Put Proceeds, PASS/REVIEW)</t>
  </si>
  <si>
    <t>Named-Range Reference (Required Modeling Vocabulary)</t>
  </si>
  <si>
    <t>Named Range</t>
  </si>
  <si>
    <t>Points To</t>
  </si>
  <si>
    <t>Description</t>
  </si>
  <si>
    <t>FC_AMT</t>
  </si>
  <si>
    <t>Inputs!$C$4</t>
  </si>
  <si>
    <t>Foreign-currency (EUR) receivable amount</t>
  </si>
  <si>
    <t>S0_in</t>
  </si>
  <si>
    <t>Inputs!$C$5</t>
  </si>
  <si>
    <t>Spot exchange rate at inception, USD per EUR</t>
  </si>
  <si>
    <t>F0_in</t>
  </si>
  <si>
    <t>Inputs!$C$6</t>
  </si>
  <si>
    <t>One-year forward exchange rate, USD per EUR</t>
  </si>
  <si>
    <t>R_USD</t>
  </si>
  <si>
    <t>Inputs!$C$7</t>
  </si>
  <si>
    <t>U.S. annual interest rate</t>
  </si>
  <si>
    <t>R_FC</t>
  </si>
  <si>
    <t>Inputs!$C$8</t>
  </si>
  <si>
    <t>Euro annual interest rate</t>
  </si>
  <si>
    <t>K_PUT</t>
  </si>
  <si>
    <t>Inputs!$C$9</t>
  </si>
  <si>
    <t>Put option strike price, USD per EUR</t>
  </si>
  <si>
    <t>K_CALL</t>
  </si>
  <si>
    <t>Inputs!$C$10</t>
  </si>
  <si>
    <t>Call option strike price, USD per EUR</t>
  </si>
  <si>
    <t>PREM_PUT</t>
  </si>
  <si>
    <t>Inputs!$C$11</t>
  </si>
  <si>
    <t>Put option premium, USD per EUR</t>
  </si>
  <si>
    <t>PREM_CALL</t>
  </si>
  <si>
    <t>Inputs!$C$12</t>
  </si>
  <si>
    <t>Call option premium, USD per EUR</t>
  </si>
  <si>
    <t>T_DAYS</t>
  </si>
  <si>
    <t>Inputs!$C$13</t>
  </si>
  <si>
    <t>Days to settlement (ACT/360 convention)</t>
  </si>
  <si>
    <t>Inputs — Named-Range Contract</t>
  </si>
  <si>
    <t>Yellow cells are editable inputs. Values are indicative placeholders replaced with live market data at Stage 4 (except FC_AMT and T_DAYS, which are scenario/contract terms).</t>
  </si>
  <si>
    <t>Value</t>
  </si>
  <si>
    <t>Unit</t>
  </si>
  <si>
    <t>Stage 4 Data Source</t>
  </si>
  <si>
    <t>Placeholder Status</t>
  </si>
  <si>
    <t>Foreign-currency (EUR) receivable</t>
  </si>
  <si>
    <t>EUR</t>
  </si>
  <si>
    <t>Instructor-assigned scenario</t>
  </si>
  <si>
    <t>Fixed by scenario / contract terms — not replaced at Stage 4.</t>
  </si>
  <si>
    <t>Spot exchange rate</t>
  </si>
  <si>
    <t>USD per EUR</t>
  </si>
  <si>
    <t>Yahoo Finance EUR/USD</t>
  </si>
  <si>
    <t>Indicative — replaced with live market data at Stage 4.</t>
  </si>
  <si>
    <t>One-year forward exchange rate</t>
  </si>
  <si>
    <t>One-year forward FX quote</t>
  </si>
  <si>
    <t>Annual %</t>
  </si>
  <si>
    <t>U.S. Treasury one-year yield</t>
  </si>
  <si>
    <t>European one-year reference rate / government yield</t>
  </si>
  <si>
    <t>Put option strike price</t>
  </si>
  <si>
    <t>Option market quote, set at or near spot</t>
  </si>
  <si>
    <t>Call option strike price</t>
  </si>
  <si>
    <t>Put option premium</t>
  </si>
  <si>
    <t>Instructor scenario / option market</t>
  </si>
  <si>
    <t>Call option premium</t>
  </si>
  <si>
    <t>Days to settlement</t>
  </si>
  <si>
    <t>Days</t>
  </si>
  <si>
    <t>Contract terms, ACT/360 convention</t>
  </si>
  <si>
    <t>Forward Hedge</t>
  </si>
  <si>
    <t>The forward contract locks in today's quoted forward exchange rate for settlement in one year, fixing the USD value of the EUR receivable regardless of the spot rate at maturity.</t>
  </si>
  <si>
    <t>Component</t>
  </si>
  <si>
    <t>Foreign-Currency Amount (FC_AMT), EUR</t>
  </si>
  <si>
    <t>Forward Rate (F0_in), USD per EUR</t>
  </si>
  <si>
    <t>Forward USD Proceeds = FC_AMT × F0_in</t>
  </si>
  <si>
    <t>Note: Forward proceeds remain fixed across all ending spot-rate (S_T) scenarios because the exchange rate is contractually locked in at inception. This is the key distinguishing feature of the forward hedge versus the unhedged position.</t>
  </si>
  <si>
    <t>Money Market Hedge</t>
  </si>
  <si>
    <t>The money-market hedge replicates the forward hedge by borrowing EUR today, converting it to USD at the spot rate, and investing the USD to settlement. Under covered interest rate parity (CIRP), its proceeds should approximately equal the forward hedge proceeds.</t>
  </si>
  <si>
    <t>Step</t>
  </si>
  <si>
    <t>Formula Logic</t>
  </si>
  <si>
    <t>Result</t>
  </si>
  <si>
    <t>Step 1</t>
  </si>
  <si>
    <t>Borrow EUR today</t>
  </si>
  <si>
    <t>FC_AMT / (1 + R_FC × T_DAYS/360)</t>
  </si>
  <si>
    <t>Step 2</t>
  </si>
  <si>
    <t>Convert borrowed EUR to USD</t>
  </si>
  <si>
    <t>Step 1 Result × S0_in</t>
  </si>
  <si>
    <t>Step 3</t>
  </si>
  <si>
    <t>Invest USD to settlement</t>
  </si>
  <si>
    <t>Step 2 Result × (1 + R_USD × T_DAYS/360)</t>
  </si>
  <si>
    <t>Covered Interest Rate Parity (CIRP) Check</t>
  </si>
  <si>
    <t>Implied Forward Rate</t>
  </si>
  <si>
    <t>S0_in × (1+R_USD×T_DAYS/360) / (1+R_FC×T_DAYS/360)</t>
  </si>
  <si>
    <t>Quoted Forward Rate (F0_in)</t>
  </si>
  <si>
    <t>Difference: Implied Forward − F0_in</t>
  </si>
  <si>
    <t>Rate Tolerance (assumption)</t>
  </si>
  <si>
    <t>CIRP Check Status</t>
  </si>
  <si>
    <t>Proceeds Comparison: Forward vs. Money-Market Hedge</t>
  </si>
  <si>
    <t>Forward Hedge USD Proceeds (FC_AMT × F0_in)</t>
  </si>
  <si>
    <t>Money-Market Hedge USD Proceeds (Step 3)</t>
  </si>
  <si>
    <t>Difference: Forward − Money Market</t>
  </si>
  <si>
    <t>Amount Tolerance (assumption, USD)</t>
  </si>
  <si>
    <t>Proceeds Agreement Status</t>
  </si>
  <si>
    <t>All calculations are Excel formulas that reference the required named ranges. Rounding tolerances above reflect normal rounding differences expected under covered interest rate parity (CIRP); they are not intended to mask a modeling error.</t>
  </si>
  <si>
    <t>Option Hedge</t>
  </si>
  <si>
    <t>The put option is the PRIMARY hedge for a EUR receivable: it establishes a minimum USD conversion rate (the strike) while preserving upside if the euro strengthens. The call option is included only as a COMPARISON case; it is not a natural hedge for a receivable because a stronger euro already benefits the unhedged position.</t>
  </si>
  <si>
    <t>S_T — Ending Spot Rate Scenario (illustrative only)</t>
  </si>
  <si>
    <t>S_T is a scenario value used only to illustrate option payoffs on this tab; it is not one of the ten required named-range inputs. Edit this yellow cell to test different settlement scenarios.</t>
  </si>
  <si>
    <t>Put Option — Primary Hedge for EUR Receivable</t>
  </si>
  <si>
    <t>Gross Put Proceeds = FC_AMT × MAX(S_T, K_PUT)</t>
  </si>
  <si>
    <t>Total Put Premium = FC_AMT × PREM_PUT</t>
  </si>
  <si>
    <t>Net Put Proceeds = Gross − Premium</t>
  </si>
  <si>
    <t>Call Option — Comparison Case Only</t>
  </si>
  <si>
    <t>Gross Call Payoff = FC_AMT × MAX(S_T − K_CALL, 0)</t>
  </si>
  <si>
    <t>Total Call Premium = FC_AMT × PREM_CALL</t>
  </si>
  <si>
    <t>Net Call Payoff = Gross − Premium</t>
  </si>
  <si>
    <t>The put premium is deducted in every scenario and is not compounded. Below K_PUT, the strike creates a floor under USD proceeds; above K_PUT, the put expires unexercised and the receivable converts at the market rate, less the premium.</t>
  </si>
  <si>
    <t>Sensitivity Analysis</t>
  </si>
  <si>
    <t>Eleven ending spot-rate (S_T) scenarios from 0.95×S0_in to 1.05×S0_in in 1% increments. All spot-rate and proceeds values are formulas linked to the named ranges; the chart updates automatically when any input changes.</t>
  </si>
  <si>
    <t>#</t>
  </si>
  <si>
    <t>% Change vs. Spot</t>
  </si>
  <si>
    <t>S_T
(Ending Spot Rate)</t>
  </si>
  <si>
    <t>Unhedged
USD Proceeds</t>
  </si>
  <si>
    <t>Forward Hedge
USD Proceeds</t>
  </si>
  <si>
    <t>Money-Market Hedge
USD Proceeds</t>
  </si>
  <si>
    <t>Put Option Net
USD Proceeds</t>
  </si>
  <si>
    <t>Scenario Count Check</t>
  </si>
  <si>
    <t>Scenario Count Status (must = 11)</t>
  </si>
  <si>
    <t>Error-Free Check (Sensitivity Table)</t>
  </si>
  <si>
    <t>Error-Free Status</t>
  </si>
  <si>
    <t>Notes &amp; Assumptions</t>
  </si>
  <si>
    <t>Modeling Assumptions</t>
  </si>
  <si>
    <t>•</t>
  </si>
  <si>
    <t>Interest calculations follow the ACT/360 day-count convention, using T_DAYS = 360.</t>
  </si>
  <si>
    <t>Transaction costs, brokerage commissions, taxes, and bid-ask spreads are assumed to be zero.</t>
  </si>
  <si>
    <t>Covered Interest Rate Parity (CIRP) is assumed to hold; the forward hedge and money-market hedge should therefore produce nearly identical proceeds after accounting for normal rounding differences.</t>
  </si>
  <si>
    <t>Option premiums are treated as upfront costs and are deducted from total proceeds in every scenario, regardless of whether the option is exercised.</t>
  </si>
  <si>
    <t>Option premiums are not compounded — the full premium is deducted once, undiscounted.</t>
  </si>
  <si>
    <t>Exchange rates are quoted as USD per EUR throughout the workbook.</t>
  </si>
  <si>
    <t>All market values (S0_in, F0_in, R_USD, R_FC, K_PUT, K_CALL, PREM_PUT, PREM_CALL) are indicative placeholders and will be replaced with live, sourced market data at Stage 4 without changing the workbook's structure or formulas.</t>
  </si>
  <si>
    <t>The ten named ranges defined on the Inputs tab (FC_AMT, S0_in, F0_in, R_USD, R_FC, K_PUT, K_CALL, PREM_PUT, PREM_CALL, T_DAYS) are the required modeling vocabulary; all calculations reference these named ranges rather than raw cell addresses.</t>
  </si>
  <si>
    <t>Validation Summary</t>
  </si>
  <si>
    <t>Validation Item</t>
  </si>
  <si>
    <t>Detail / Check</t>
  </si>
  <si>
    <t>All ten required named ranges exist and resolve to numeric input values</t>
  </si>
  <si>
    <t>Forward and money-market hedge proceeds approximately agree</t>
  </si>
  <si>
    <t>Implied forward rate (CIRP) approximately agrees with quoted F0_in</t>
  </si>
  <si>
    <t>No Excel formula-error cells among key workbook outputs (spot-checked)</t>
  </si>
  <si>
    <t>Every required output cell is formula-driven (verified by build-time workbook audit)</t>
  </si>
  <si>
    <t>Sensitivity table contains exactly 11 formula-driven scenarios</t>
  </si>
  <si>
    <t>Sensitivity scenarios are dynamically linked to S0_in (recalculate on input change)</t>
  </si>
  <si>
    <t>Put-option net proceeds are continuous at S_T = K_PUT (no discontinuity in MAX() formula)</t>
  </si>
  <si>
    <t>All validation checks above are live Excel formulas that reference the named ranges and output cells they test; they recalculate automatically whenever an input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</si>
</sst>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000"/>
    <numFmt numFmtId="166" formatCode="0.000%"/>
    <numFmt numFmtId="167" formatCode="\$#,##0.00"/>
    <numFmt numFmtId="168" formatCode="\+0%;\-0%;0%"/>
  </numFmts>
  <fonts count="10" x14ac:knownFonts="1">
    <font>
      <sz val="11"/>
      <color theme="1"/>
      <name val="Calibri"/>
      <family val="2"/>
      <charset val="1"/>
    </font>
    <font>
      <b/>
      <sz val="16"/>
      <color rgb="FFFFFFFF"/>
      <name val="Arial"/>
      <family val="2"/>
    </font>
    <font>
      <i/>
      <sz val="11"/>
      <color rgb="FFFFFFFF"/>
      <name val="Arial"/>
      <family val="2"/>
    </font>
    <font>
      <b/>
      <sz val="10"/>
      <name val="Arial"/>
      <family val="2"/>
    </font>
    <font>
      <sz val="10"/>
      <name val="Arial"/>
      <family val="2"/>
    </font>
    <font>
      <b/>
      <sz val="12"/>
      <color rgb="FF1F4E78"/>
      <name val="Arial"/>
      <family val="2"/>
    </font>
    <font>
      <i/>
      <sz val="9"/>
      <color rgb="FF1F4E78"/>
      <name val="Arial"/>
      <family val="2"/>
    </font>
    <font>
      <b/>
      <sz val="10"/>
      <color rgb="FFFFFFFF"/>
      <name val="Arial"/>
      <family val="2"/>
    </font>
    <font>
      <b/>
      <sz val="12"/>
      <name val="Arial"/>
      <family val="2"/>
    </font>
    <font>
      <b/>
      <sz val="11"/>
      <name val="Arial"/>
      <family val="2"/>
    </font>
  </fonts>
  <fills count="8">
    <fill>
      <patternFill patternType="none"/>
    </fill>
    <fill>
      <patternFill patternType="gray125"/>
    </fill>
    <fill>
      <patternFill patternType="solid">
        <fgColor rgb="FF0B2545"/>
        <bgColor rgb="FF333333"/>
      </patternFill>
    </fill>
    <fill>
      <patternFill patternType="solid">
        <fgColor rgb="FF1F4E78"/>
        <bgColor rgb="FF333333"/>
      </patternFill>
    </fill>
    <fill>
      <patternFill patternType="solid">
        <fgColor rgb="FFFFFF00"/>
        <bgColor rgb="FFFFFF00"/>
      </patternFill>
    </fill>
    <fill>
      <patternFill patternType="solid">
        <fgColor rgb="FFBDD7EE"/>
        <bgColor rgb="FFD9D9D9"/>
      </patternFill>
    </fill>
    <fill>
      <patternFill patternType="solid">
        <fgColor rgb="FFC6E0B4"/>
        <bgColor rgb="FFD9D9D9"/>
      </patternFill>
    </fill>
    <fill>
      <patternFill patternType="solid">
        <fgColor rgb="FFD9D9D9"/>
        <bgColor rgb="FFBDD7EE"/>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5">
    <xf numFmtId="0" fontId="0" fillId="0" borderId="0" xfId="0"/>
    <xf numFmtId="0" fontId="4" fillId="0" borderId="0" xfId="0" applyFont="1" applyAlignment="1">
      <alignment vertical="top" wrapText="1"/>
    </xf>
    <xf numFmtId="0" fontId="3" fillId="0" borderId="0" xfId="0" applyFont="1"/>
    <xf numFmtId="0" fontId="4" fillId="0" borderId="0" xfId="0" applyFont="1"/>
    <xf numFmtId="167" fontId="8" fillId="7" borderId="0" xfId="0" applyNumberFormat="1" applyFont="1" applyFill="1"/>
    <xf numFmtId="165" fontId="0" fillId="6" borderId="0" xfId="0" applyNumberFormat="1" applyFill="1"/>
    <xf numFmtId="164" fontId="0" fillId="6" borderId="0" xfId="0" applyNumberFormat="1" applyFill="1"/>
    <xf numFmtId="0" fontId="7" fillId="3" borderId="1" xfId="0" applyFont="1" applyFill="1" applyBorder="1" applyAlignment="1">
      <alignment horizontal="center" vertical="center" wrapText="1"/>
    </xf>
    <xf numFmtId="0" fontId="6" fillId="0" borderId="0" xfId="0" applyFont="1" applyAlignment="1">
      <alignment horizontal="left" vertical="top" wrapText="1"/>
    </xf>
    <xf numFmtId="0" fontId="5" fillId="0" borderId="0" xfId="0" applyFont="1"/>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3" fillId="0" borderId="0" xfId="0" applyFont="1"/>
    <xf numFmtId="0" fontId="4" fillId="0" borderId="0" xfId="0" applyFont="1"/>
    <xf numFmtId="0" fontId="7" fillId="3" borderId="1" xfId="0" applyFont="1" applyFill="1" applyBorder="1" applyAlignment="1">
      <alignment horizontal="center" vertical="center" wrapText="1"/>
    </xf>
    <xf numFmtId="0" fontId="0" fillId="4" borderId="1" xfId="0" applyFill="1" applyBorder="1"/>
    <xf numFmtId="0" fontId="3" fillId="0" borderId="1" xfId="0" applyFont="1" applyBorder="1"/>
    <xf numFmtId="0" fontId="4" fillId="0" borderId="1" xfId="0" applyFont="1" applyBorder="1" applyAlignment="1">
      <alignment wrapText="1"/>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xf numFmtId="164" fontId="3" fillId="4" borderId="1" xfId="0" applyNumberFormat="1" applyFont="1" applyFill="1" applyBorder="1"/>
    <xf numFmtId="0" fontId="6" fillId="0" borderId="1" xfId="0" applyFont="1" applyBorder="1" applyAlignment="1">
      <alignment wrapText="1"/>
    </xf>
    <xf numFmtId="165" fontId="3" fillId="4" borderId="1" xfId="0" applyNumberFormat="1" applyFont="1" applyFill="1" applyBorder="1"/>
    <xf numFmtId="166" fontId="3" fillId="4" borderId="1" xfId="0" applyNumberFormat="1" applyFont="1" applyFill="1" applyBorder="1"/>
    <xf numFmtId="1" fontId="3" fillId="4" borderId="1" xfId="0" applyNumberFormat="1" applyFont="1" applyFill="1" applyBorder="1"/>
    <xf numFmtId="165" fontId="0" fillId="6" borderId="0" xfId="0" applyNumberFormat="1" applyFill="1"/>
    <xf numFmtId="167" fontId="0" fillId="6" borderId="1" xfId="0" applyNumberFormat="1" applyFill="1" applyBorder="1"/>
    <xf numFmtId="167" fontId="9" fillId="7" borderId="1" xfId="0" applyNumberFormat="1" applyFont="1" applyFill="1" applyBorder="1"/>
    <xf numFmtId="165" fontId="0" fillId="7" borderId="0" xfId="0" applyNumberFormat="1" applyFill="1"/>
    <xf numFmtId="166" fontId="0" fillId="5" borderId="0" xfId="0" applyNumberFormat="1" applyFill="1"/>
    <xf numFmtId="0" fontId="3" fillId="7" borderId="0" xfId="0" applyFont="1" applyFill="1"/>
    <xf numFmtId="167" fontId="0" fillId="6" borderId="0" xfId="0" applyNumberFormat="1" applyFill="1"/>
    <xf numFmtId="167" fontId="0" fillId="7" borderId="0" xfId="0" applyNumberFormat="1" applyFill="1"/>
    <xf numFmtId="164" fontId="0" fillId="5" borderId="0" xfId="0" applyNumberFormat="1" applyFill="1"/>
    <xf numFmtId="165" fontId="0" fillId="4" borderId="1" xfId="0" applyNumberFormat="1" applyFill="1" applyBorder="1"/>
    <xf numFmtId="167" fontId="9" fillId="7" borderId="0" xfId="0" applyNumberFormat="1" applyFont="1" applyFill="1"/>
    <xf numFmtId="168" fontId="4" fillId="0" borderId="1" xfId="0" applyNumberFormat="1" applyFont="1" applyBorder="1"/>
    <xf numFmtId="165" fontId="0" fillId="6" borderId="1" xfId="0" applyNumberFormat="1" applyFill="1" applyBorder="1"/>
    <xf numFmtId="167" fontId="0" fillId="7" borderId="1" xfId="0" applyNumberFormat="1" applyFill="1" applyBorder="1"/>
    <xf numFmtId="1" fontId="0" fillId="7" borderId="0" xfId="0" applyNumberFormat="1" applyFill="1"/>
    <xf numFmtId="0" fontId="3" fillId="7" borderId="1" xfId="0" applyFont="1" applyFill="1" applyBorder="1"/>
    <xf numFmtId="165" fontId="0" fillId="7" borderId="1" xfId="0" applyNumberFormat="1" applyFill="1" applyBorder="1"/>
    <xf numFmtId="1" fontId="0" fillId="7" borderId="1" xfId="0" applyNumberForma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E4B48"/>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4A7EBB"/>
      <rgbColor rgb="FF33CCCC"/>
      <rgbColor rgb="FF98B855"/>
      <rgbColor rgb="FFFFCC00"/>
      <rgbColor rgb="FFFF9900"/>
      <rgbColor rgb="FFFF6600"/>
      <rgbColor rgb="FF7D5FA0"/>
      <rgbColor rgb="FFAAAAAA"/>
      <rgbColor rgb="FF0B2545"/>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USD Proceeds by Hedging Strategy vs. Ending Spot Rate (S_T)</a:t>
            </a:r>
          </a:p>
        </c:rich>
      </c:tx>
      <c:overlay val="0"/>
      <c:spPr>
        <a:noFill/>
        <a:ln w="0">
          <a:noFill/>
        </a:ln>
      </c:spPr>
    </c:title>
    <c:autoTitleDeleted val="0"/>
    <c:plotArea>
      <c:layout/>
      <c:lineChart>
        <c:grouping val="standard"/>
        <c:varyColors val="0"/>
        <c:ser>
          <c:idx val="0"/>
          <c:order val="0"/>
          <c:tx>
            <c:strRef>
              <c:f>'Sensitivity Analysis'!$D$5</c:f>
              <c:strCache>
                <c:ptCount val="1"/>
                <c:pt idx="0">
                  <c:v>Unhedged
USD Proceeds</c:v>
                </c:pt>
              </c:strCache>
            </c:strRef>
          </c:tx>
          <c:spPr>
            <a:ln w="12600">
              <a:solidFill>
                <a:srgbClr val="4A7EBB"/>
              </a:solidFill>
              <a:round/>
            </a:ln>
          </c:spPr>
          <c:marker>
            <c:symbol val="circle"/>
            <c:size val="5"/>
            <c:spPr>
              <a:solidFill>
                <a:srgbClr val="4A7EBB"/>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'Sensitivity Analysis'!$C$6:$C$16</c:f>
              <c:numCache>
                <c:formatCode>0.0000</c:formatCode>
                <c:ptCount val="11"/>
                <c:pt idx="0">
                  <c:v>1.09459</c:v>
                </c:pt>
                <c:pt idx="1">
                  <c:v>1.1061119999999998</c:v>
                </c:pt>
                <c:pt idx="2">
                  <c:v>1.1176339999999998</c:v>
                </c:pt>
                <c:pt idx="3">
                  <c:v>1.1291559999999998</c:v>
                </c:pt>
                <c:pt idx="4">
                  <c:v>1.1406779999999999</c:v>
                </c:pt>
                <c:pt idx="5">
                  <c:v>1.1521999999999999</c:v>
                </c:pt>
                <c:pt idx="6">
                  <c:v>1.1637219999999999</c:v>
                </c:pt>
                <c:pt idx="7">
                  <c:v>1.175244</c:v>
                </c:pt>
                <c:pt idx="8">
                  <c:v>1.186766</c:v>
                </c:pt>
                <c:pt idx="9">
                  <c:v>1.198288</c:v>
                </c:pt>
                <c:pt idx="10">
                  <c:v>1.2098099999999998</c:v>
                </c:pt>
              </c:numCache>
            </c:numRef>
          </c:cat>
          <c:val>
            <c:numRef>
              <c:f>'Sensitivity Analysis'!$D$6:$D$16</c:f>
              <c:numCache>
                <c:formatCode>\$#,##0.00</c:formatCode>
                <c:ptCount val="11"/>
                <c:pt idx="0">
                  <c:v>13682375</c:v>
                </c:pt>
                <c:pt idx="1">
                  <c:v>13826399.999999996</c:v>
                </c:pt>
                <c:pt idx="2">
                  <c:v>13970424.999999998</c:v>
                </c:pt>
                <c:pt idx="3">
                  <c:v>14114449.999999998</c:v>
                </c:pt>
                <c:pt idx="4">
                  <c:v>14258474.999999998</c:v>
                </c:pt>
                <c:pt idx="5">
                  <c:v>14402499.999999998</c:v>
                </c:pt>
                <c:pt idx="6">
                  <c:v>14546524.999999998</c:v>
                </c:pt>
                <c:pt idx="7">
                  <c:v>14690550</c:v>
                </c:pt>
                <c:pt idx="8">
                  <c:v>14834575</c:v>
                </c:pt>
                <c:pt idx="9">
                  <c:v>14978600</c:v>
                </c:pt>
                <c:pt idx="10">
                  <c:v>15122624.999999998</c:v>
                </c:pt>
              </c:numCache>
            </c:numRef>
          </c:val>
          <c:smooth val="0"/>
          <c:extLst>
            <c:ext xmlns:c16="http://schemas.microsoft.com/office/drawing/2014/chart" uri="{C3380CC4-5D6E-409C-BE32-E72D297353CC}">
              <c16:uniqueId val="{00000000-D526-C942-AA9E-986764E47E23}"/>
            </c:ext>
          </c:extLst>
        </c:ser>
        <c:ser>
          <c:idx val="1"/>
          <c:order val="1"/>
          <c:tx>
            <c:strRef>
              <c:f>'Sensitivity Analysis'!$E$5</c:f>
              <c:strCache>
                <c:ptCount val="1"/>
                <c:pt idx="0">
                  <c:v>Forward Hedge
USD Proceeds</c:v>
                </c:pt>
              </c:strCache>
            </c:strRef>
          </c:tx>
          <c:spPr>
            <a:ln w="12600">
              <a:solidFill>
                <a:srgbClr val="BE4B48"/>
              </a:solidFill>
              <a:round/>
            </a:ln>
          </c:spPr>
          <c:marker>
            <c:symbol val="circle"/>
            <c:size val="5"/>
            <c:spPr>
              <a:solidFill>
                <a:srgbClr val="BE4B48"/>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'Sensitivity Analysis'!$C$6:$C$16</c:f>
              <c:numCache>
                <c:formatCode>0.0000</c:formatCode>
                <c:ptCount val="11"/>
                <c:pt idx="0">
                  <c:v>1.09459</c:v>
                </c:pt>
                <c:pt idx="1">
                  <c:v>1.1061119999999998</c:v>
                </c:pt>
                <c:pt idx="2">
                  <c:v>1.1176339999999998</c:v>
                </c:pt>
                <c:pt idx="3">
                  <c:v>1.1291559999999998</c:v>
                </c:pt>
                <c:pt idx="4">
                  <c:v>1.1406779999999999</c:v>
                </c:pt>
                <c:pt idx="5">
                  <c:v>1.1521999999999999</c:v>
                </c:pt>
                <c:pt idx="6">
                  <c:v>1.1637219999999999</c:v>
                </c:pt>
                <c:pt idx="7">
                  <c:v>1.175244</c:v>
                </c:pt>
                <c:pt idx="8">
                  <c:v>1.186766</c:v>
                </c:pt>
                <c:pt idx="9">
                  <c:v>1.198288</c:v>
                </c:pt>
                <c:pt idx="10">
                  <c:v>1.2098099999999998</c:v>
                </c:pt>
              </c:numCache>
            </c:numRef>
          </c:cat>
          <c:val>
            <c:numRef>
              <c:f>'Sensitivity Analysis'!$E$6:$E$16</c:f>
              <c:numCache>
                <c:formatCode>\$#,##0.00</c:formatCode>
                <c:ptCount val="11"/>
                <c:pt idx="0">
                  <c:v>14615500</c:v>
                </c:pt>
                <c:pt idx="1">
                  <c:v>14615500</c:v>
                </c:pt>
                <c:pt idx="2">
                  <c:v>14615500</c:v>
                </c:pt>
                <c:pt idx="3">
                  <c:v>14615500</c:v>
                </c:pt>
                <c:pt idx="4">
                  <c:v>14615500</c:v>
                </c:pt>
                <c:pt idx="5">
                  <c:v>14615500</c:v>
                </c:pt>
                <c:pt idx="6">
                  <c:v>14615500</c:v>
                </c:pt>
                <c:pt idx="7">
                  <c:v>14615500</c:v>
                </c:pt>
                <c:pt idx="8">
                  <c:v>14615500</c:v>
                </c:pt>
                <c:pt idx="9">
                  <c:v>14615500</c:v>
                </c:pt>
                <c:pt idx="10">
                  <c:v>14615500</c:v>
                </c:pt>
              </c:numCache>
            </c:numRef>
          </c:val>
          <c:smooth val="0"/>
          <c:extLst>
            <c:ext xmlns:c16="http://schemas.microsoft.com/office/drawing/2014/chart" uri="{C3380CC4-5D6E-409C-BE32-E72D297353CC}">
              <c16:uniqueId val="{00000001-D526-C942-AA9E-986764E47E23}"/>
            </c:ext>
          </c:extLst>
        </c:ser>
        <c:ser>
          <c:idx val="2"/>
          <c:order val="2"/>
          <c:tx>
            <c:strRef>
              <c:f>'Sensitivity Analysis'!$F$5</c:f>
              <c:strCache>
                <c:ptCount val="1"/>
                <c:pt idx="0">
                  <c:v>Money-Market Hedge
USD Proceeds</c:v>
                </c:pt>
              </c:strCache>
            </c:strRef>
          </c:tx>
          <c:spPr>
            <a:ln w="12600">
              <a:solidFill>
                <a:srgbClr val="98B855"/>
              </a:solidFill>
              <a:round/>
            </a:ln>
          </c:spPr>
          <c:marker>
            <c:symbol val="circle"/>
            <c:size val="5"/>
            <c:spPr>
              <a:solidFill>
                <a:srgbClr val="98B855"/>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'Sensitivity Analysis'!$C$6:$C$16</c:f>
              <c:numCache>
                <c:formatCode>0.0000</c:formatCode>
                <c:ptCount val="11"/>
                <c:pt idx="0">
                  <c:v>1.09459</c:v>
                </c:pt>
                <c:pt idx="1">
                  <c:v>1.1061119999999998</c:v>
                </c:pt>
                <c:pt idx="2">
                  <c:v>1.1176339999999998</c:v>
                </c:pt>
                <c:pt idx="3">
                  <c:v>1.1291559999999998</c:v>
                </c:pt>
                <c:pt idx="4">
                  <c:v>1.1406779999999999</c:v>
                </c:pt>
                <c:pt idx="5">
                  <c:v>1.1521999999999999</c:v>
                </c:pt>
                <c:pt idx="6">
                  <c:v>1.1637219999999999</c:v>
                </c:pt>
                <c:pt idx="7">
                  <c:v>1.175244</c:v>
                </c:pt>
                <c:pt idx="8">
                  <c:v>1.186766</c:v>
                </c:pt>
                <c:pt idx="9">
                  <c:v>1.198288</c:v>
                </c:pt>
                <c:pt idx="10">
                  <c:v>1.2098099999999998</c:v>
                </c:pt>
              </c:numCache>
            </c:numRef>
          </c:cat>
          <c:val>
            <c:numRef>
              <c:f>'Sensitivity Analysis'!$F$6:$F$16</c:f>
              <c:numCache>
                <c:formatCode>\$#,##0.00</c:formatCode>
                <c:ptCount val="11"/>
                <c:pt idx="0">
                  <c:v>14610725.194002492</c:v>
                </c:pt>
                <c:pt idx="1">
                  <c:v>14610725.194002492</c:v>
                </c:pt>
                <c:pt idx="2">
                  <c:v>14610725.194002492</c:v>
                </c:pt>
                <c:pt idx="3">
                  <c:v>14610725.194002492</c:v>
                </c:pt>
                <c:pt idx="4">
                  <c:v>14610725.194002492</c:v>
                </c:pt>
                <c:pt idx="5">
                  <c:v>14610725.194002492</c:v>
                </c:pt>
                <c:pt idx="6">
                  <c:v>14610725.194002492</c:v>
                </c:pt>
                <c:pt idx="7">
                  <c:v>14610725.194002492</c:v>
                </c:pt>
                <c:pt idx="8">
                  <c:v>14610725.194002492</c:v>
                </c:pt>
                <c:pt idx="9">
                  <c:v>14610725.194002492</c:v>
                </c:pt>
                <c:pt idx="10">
                  <c:v>14610725.194002492</c:v>
                </c:pt>
              </c:numCache>
            </c:numRef>
          </c:val>
          <c:smooth val="0"/>
          <c:extLst>
            <c:ext xmlns:c16="http://schemas.microsoft.com/office/drawing/2014/chart" uri="{C3380CC4-5D6E-409C-BE32-E72D297353CC}">
              <c16:uniqueId val="{00000002-D526-C942-AA9E-986764E47E23}"/>
            </c:ext>
          </c:extLst>
        </c:ser>
        <c:ser>
          <c:idx val="3"/>
          <c:order val="3"/>
          <c:tx>
            <c:strRef>
              <c:f>'Sensitivity Analysis'!$G$5</c:f>
              <c:strCache>
                <c:ptCount val="1"/>
                <c:pt idx="0">
                  <c:v>Put Option Net
USD Proceeds</c:v>
                </c:pt>
              </c:strCache>
            </c:strRef>
          </c:tx>
          <c:spPr>
            <a:ln w="12600">
              <a:solidFill>
                <a:srgbClr val="7D5FA0"/>
              </a:solidFill>
              <a:round/>
            </a:ln>
          </c:spPr>
          <c:marker>
            <c:symbol val="circle"/>
            <c:size val="5"/>
            <c:spPr>
              <a:solidFill>
                <a:srgbClr val="7D5F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'Sensitivity Analysis'!$C$6:$C$16</c:f>
              <c:numCache>
                <c:formatCode>0.0000</c:formatCode>
                <c:ptCount val="11"/>
                <c:pt idx="0">
                  <c:v>1.09459</c:v>
                </c:pt>
                <c:pt idx="1">
                  <c:v>1.1061119999999998</c:v>
                </c:pt>
                <c:pt idx="2">
                  <c:v>1.1176339999999998</c:v>
                </c:pt>
                <c:pt idx="3">
                  <c:v>1.1291559999999998</c:v>
                </c:pt>
                <c:pt idx="4">
                  <c:v>1.1406779999999999</c:v>
                </c:pt>
                <c:pt idx="5">
                  <c:v>1.1521999999999999</c:v>
                </c:pt>
                <c:pt idx="6">
                  <c:v>1.1637219999999999</c:v>
                </c:pt>
                <c:pt idx="7">
                  <c:v>1.175244</c:v>
                </c:pt>
                <c:pt idx="8">
                  <c:v>1.186766</c:v>
                </c:pt>
                <c:pt idx="9">
                  <c:v>1.198288</c:v>
                </c:pt>
                <c:pt idx="10">
                  <c:v>1.2098099999999998</c:v>
                </c:pt>
              </c:numCache>
            </c:numRef>
          </c:cat>
          <c:val>
            <c:numRef>
              <c:f>'Sensitivity Analysis'!$G$6:$G$16</c:f>
              <c:numCache>
                <c:formatCode>\$#,##0.00</c:formatCode>
                <c:ptCount val="11"/>
                <c:pt idx="0">
                  <c:v>14189999.999999998</c:v>
                </c:pt>
                <c:pt idx="1">
                  <c:v>14189999.999999998</c:v>
                </c:pt>
                <c:pt idx="2">
                  <c:v>14189999.999999998</c:v>
                </c:pt>
                <c:pt idx="3">
                  <c:v>14189999.999999998</c:v>
                </c:pt>
                <c:pt idx="4">
                  <c:v>14189999.999999998</c:v>
                </c:pt>
                <c:pt idx="5">
                  <c:v>14189999.999999998</c:v>
                </c:pt>
                <c:pt idx="6">
                  <c:v>14334024.999999998</c:v>
                </c:pt>
                <c:pt idx="7">
                  <c:v>14478050</c:v>
                </c:pt>
                <c:pt idx="8">
                  <c:v>14622075</c:v>
                </c:pt>
                <c:pt idx="9">
                  <c:v>14766100</c:v>
                </c:pt>
                <c:pt idx="10">
                  <c:v>14910124.999999998</c:v>
                </c:pt>
              </c:numCache>
            </c:numRef>
          </c:val>
          <c:smooth val="0"/>
          <c:extLst>
            <c:ext xmlns:c16="http://schemas.microsoft.com/office/drawing/2014/chart" uri="{C3380CC4-5D6E-409C-BE32-E72D297353CC}">
              <c16:uniqueId val="{00000003-D526-C942-AA9E-986764E47E23}"/>
            </c:ext>
          </c:extLst>
        </c:ser>
        <c:dLbls>
          <c:showLegendKey val="0"/>
          <c:showVal val="0"/>
          <c:showCatName val="0"/>
          <c:showSerName val="0"/>
          <c:showPercent val="0"/>
          <c:showBubbleSize val="0"/>
        </c:dLbls>
        <c:hiLowLines>
          <c:spPr>
            <a:ln w="0">
              <a:noFill/>
            </a:ln>
          </c:spPr>
        </c:hiLowLines>
        <c:marker val="1"/>
        <c:smooth val="0"/>
        <c:axId val="75380217"/>
        <c:axId val="63877674"/>
      </c:lineChart>
      <c:catAx>
        <c:axId val="75380217"/>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Ending Spot Rate, S_T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63877674"/>
        <c:crosses val="autoZero"/>
        <c:auto val="1"/>
        <c:lblAlgn val="ctr"/>
        <c:lblOffset val="100"/>
        <c:noMultiLvlLbl val="0"/>
      </c:catAx>
      <c:valAx>
        <c:axId val="6387767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USD Proceeds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538021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9</xdr:col>
      <xdr:colOff>70920</xdr:colOff>
      <xdr:row>40</xdr:row>
      <xdr:rowOff>170640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showGridLines="0" tabSelected="1" zoomScaleNormal="100" workbookViewId="0">
      <selection activeCell="A14" sqref="A14"/>
    </sheetView>
  </sheetViews>
  <sheetFormatPr baseColWidth="10" defaultColWidth="8.6640625" defaultRowHeight="15" x14ac:dyDescent="0.2"/>
  <cols>
    <col min="1" max="1" width="22" customWidth="1"/>
    <col min="2" max="2" width="46" customWidth="1"/>
    <col min="3" max="6" width="14" customWidth="1"/>
  </cols>
  <sheetData>
    <row r="1" spans="1:6" ht="31.5" customHeight="1" x14ac:dyDescent="0.2">
      <c r="A1" s="11" t="s">
        <v>0</v>
      </c>
      <c r="B1" s="11"/>
      <c r="C1" s="11"/>
      <c r="D1" s="11"/>
      <c r="E1" s="11"/>
      <c r="F1" s="11"/>
    </row>
    <row r="2" spans="1:6" ht="18" customHeight="1" x14ac:dyDescent="0.2">
      <c r="A2" s="10" t="s">
        <v>1</v>
      </c>
      <c r="B2" s="10"/>
      <c r="C2" s="10"/>
      <c r="D2" s="10"/>
      <c r="E2" s="10"/>
      <c r="F2" s="10"/>
    </row>
    <row r="4" spans="1:6" x14ac:dyDescent="0.2">
      <c r="A4" s="12" t="s">
        <v>2</v>
      </c>
      <c r="B4" s="13" t="s">
        <v>3</v>
      </c>
    </row>
    <row r="5" spans="1:6" x14ac:dyDescent="0.2">
      <c r="A5" s="12" t="s">
        <v>4</v>
      </c>
      <c r="B5" s="13" t="s">
        <v>5</v>
      </c>
    </row>
    <row r="6" spans="1:6" x14ac:dyDescent="0.2">
      <c r="A6" s="12" t="s">
        <v>6</v>
      </c>
      <c r="B6" s="13" t="s">
        <v>7</v>
      </c>
    </row>
    <row r="7" spans="1:6" x14ac:dyDescent="0.2">
      <c r="A7" s="12" t="s">
        <v>8</v>
      </c>
      <c r="B7" s="13" t="s">
        <v>9</v>
      </c>
    </row>
    <row r="8" spans="1:6" x14ac:dyDescent="0.2">
      <c r="A8" s="12" t="s">
        <v>10</v>
      </c>
      <c r="B8" s="13" t="s">
        <v>11</v>
      </c>
    </row>
    <row r="9" spans="1:6" x14ac:dyDescent="0.2">
      <c r="A9" s="12" t="s">
        <v>12</v>
      </c>
      <c r="B9" s="13" t="s">
        <v>13</v>
      </c>
    </row>
    <row r="11" spans="1:6" ht="18" customHeight="1" x14ac:dyDescent="0.2">
      <c r="A11" s="9" t="s">
        <v>14</v>
      </c>
      <c r="B11" s="9"/>
      <c r="C11" s="9"/>
      <c r="D11" s="9"/>
      <c r="E11" s="9"/>
      <c r="F11" s="9"/>
    </row>
    <row r="12" spans="1:6" ht="64" customHeight="1" x14ac:dyDescent="0.2">
      <c r="A12" s="8" t="s">
        <v>15</v>
      </c>
      <c r="B12" s="8"/>
      <c r="C12" s="8"/>
      <c r="D12" s="8"/>
      <c r="E12" s="8"/>
      <c r="F12" s="8"/>
    </row>
    <row r="16" spans="1:6" ht="15" customHeight="1" x14ac:dyDescent="0.2">
      <c r="A16" s="8" t="s">
        <v>16</v>
      </c>
      <c r="B16" s="8"/>
      <c r="C16" s="8"/>
      <c r="D16" s="8"/>
      <c r="E16" s="8"/>
      <c r="F16" s="8"/>
    </row>
    <row r="19" spans="1:6" ht="22.25" customHeight="1" x14ac:dyDescent="0.2">
      <c r="A19" s="8" t="s">
        <v>17</v>
      </c>
      <c r="B19" s="8"/>
      <c r="C19" s="8"/>
      <c r="D19" s="8"/>
      <c r="E19" s="8"/>
      <c r="F19" s="8"/>
    </row>
  </sheetData>
  <mergeCells count="6">
    <mergeCell ref="A19:F19"/>
    <mergeCell ref="A1:F1"/>
    <mergeCell ref="A2:F2"/>
    <mergeCell ref="A11:F11"/>
    <mergeCell ref="A12:F12"/>
    <mergeCell ref="A16:F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zoomScaleNormal="100" workbookViewId="0">
      <pane ySplit="5" topLeftCell="A6" activePane="bottomLeft" state="frozen"/>
      <selection pane="bottomLeft" sqref="A1:F1"/>
    </sheetView>
  </sheetViews>
  <sheetFormatPr baseColWidth="10" defaultColWidth="8.6640625" defaultRowHeight="15" x14ac:dyDescent="0.2"/>
  <cols>
    <col min="1" max="2" width="16" customWidth="1"/>
    <col min="3" max="3" width="60" customWidth="1"/>
  </cols>
  <sheetData>
    <row r="1" spans="1:6" ht="27.75" customHeight="1" x14ac:dyDescent="0.2">
      <c r="A1" s="11" t="s">
        <v>18</v>
      </c>
      <c r="B1" s="11"/>
      <c r="C1" s="11"/>
      <c r="D1" s="11"/>
      <c r="E1" s="11"/>
      <c r="F1" s="11"/>
    </row>
    <row r="4" spans="1:6" ht="18" customHeight="1" x14ac:dyDescent="0.2">
      <c r="A4" s="9" t="s">
        <v>19</v>
      </c>
      <c r="B4" s="9"/>
      <c r="C4" s="9"/>
      <c r="D4" s="9"/>
      <c r="E4" s="9"/>
      <c r="F4" s="9"/>
    </row>
    <row r="5" spans="1:6" x14ac:dyDescent="0.2">
      <c r="A5" s="14" t="s">
        <v>20</v>
      </c>
      <c r="B5" s="14" t="s">
        <v>21</v>
      </c>
      <c r="C5" s="14" t="s">
        <v>22</v>
      </c>
    </row>
    <row r="6" spans="1:6" x14ac:dyDescent="0.2">
      <c r="A6" s="15"/>
      <c r="B6" s="16" t="s">
        <v>23</v>
      </c>
      <c r="C6" s="17" t="s">
        <v>24</v>
      </c>
    </row>
    <row r="7" spans="1:6" x14ac:dyDescent="0.2">
      <c r="A7" s="18"/>
      <c r="B7" s="16" t="s">
        <v>25</v>
      </c>
      <c r="C7" s="17" t="s">
        <v>26</v>
      </c>
    </row>
    <row r="8" spans="1:6" x14ac:dyDescent="0.2">
      <c r="A8" s="19"/>
      <c r="B8" s="16" t="s">
        <v>27</v>
      </c>
      <c r="C8" s="17" t="s">
        <v>28</v>
      </c>
    </row>
    <row r="9" spans="1:6" ht="29" x14ac:dyDescent="0.2">
      <c r="A9" s="20"/>
      <c r="B9" s="16" t="s">
        <v>29</v>
      </c>
      <c r="C9" s="17" t="s">
        <v>30</v>
      </c>
    </row>
    <row r="12" spans="1:6" ht="18" customHeight="1" x14ac:dyDescent="0.2">
      <c r="A12" s="9" t="s">
        <v>31</v>
      </c>
      <c r="B12" s="9"/>
      <c r="C12" s="9"/>
      <c r="D12" s="9"/>
      <c r="E12" s="9"/>
      <c r="F12" s="9"/>
    </row>
    <row r="13" spans="1:6" x14ac:dyDescent="0.2">
      <c r="A13" s="14" t="s">
        <v>32</v>
      </c>
      <c r="B13" s="14" t="s">
        <v>33</v>
      </c>
      <c r="C13" s="14" t="s">
        <v>34</v>
      </c>
    </row>
    <row r="14" spans="1:6" x14ac:dyDescent="0.2">
      <c r="A14" s="21" t="s">
        <v>35</v>
      </c>
      <c r="B14" s="21" t="s">
        <v>36</v>
      </c>
      <c r="C14" s="21" t="s">
        <v>37</v>
      </c>
    </row>
    <row r="15" spans="1:6" x14ac:dyDescent="0.2">
      <c r="A15" s="21" t="s">
        <v>38</v>
      </c>
      <c r="B15" s="21" t="s">
        <v>39</v>
      </c>
      <c r="C15" s="21" t="s">
        <v>40</v>
      </c>
    </row>
    <row r="16" spans="1:6" x14ac:dyDescent="0.2">
      <c r="A16" s="21" t="s">
        <v>41</v>
      </c>
      <c r="B16" s="21" t="s">
        <v>42</v>
      </c>
      <c r="C16" s="21" t="s">
        <v>43</v>
      </c>
    </row>
    <row r="17" spans="1:3" x14ac:dyDescent="0.2">
      <c r="A17" s="21" t="s">
        <v>44</v>
      </c>
      <c r="B17" s="21" t="s">
        <v>45</v>
      </c>
      <c r="C17" s="21" t="s">
        <v>46</v>
      </c>
    </row>
    <row r="18" spans="1:3" x14ac:dyDescent="0.2">
      <c r="A18" s="21" t="s">
        <v>47</v>
      </c>
      <c r="B18" s="21" t="s">
        <v>48</v>
      </c>
      <c r="C18" s="21" t="s">
        <v>49</v>
      </c>
    </row>
    <row r="19" spans="1:3" x14ac:dyDescent="0.2">
      <c r="A19" s="21" t="s">
        <v>50</v>
      </c>
      <c r="B19" s="21" t="s">
        <v>51</v>
      </c>
      <c r="C19" s="21" t="s">
        <v>52</v>
      </c>
    </row>
    <row r="20" spans="1:3" x14ac:dyDescent="0.2">
      <c r="A20" s="21" t="s">
        <v>53</v>
      </c>
      <c r="B20" s="21" t="s">
        <v>54</v>
      </c>
      <c r="C20" s="21" t="s">
        <v>55</v>
      </c>
    </row>
    <row r="21" spans="1:3" x14ac:dyDescent="0.2">
      <c r="A21" s="21" t="s">
        <v>56</v>
      </c>
      <c r="B21" s="21" t="s">
        <v>57</v>
      </c>
      <c r="C21" s="21" t="s">
        <v>58</v>
      </c>
    </row>
    <row r="22" spans="1:3" x14ac:dyDescent="0.2">
      <c r="A22" s="21" t="s">
        <v>59</v>
      </c>
      <c r="B22" s="21" t="s">
        <v>60</v>
      </c>
      <c r="C22" s="21" t="s">
        <v>61</v>
      </c>
    </row>
    <row r="23" spans="1:3" x14ac:dyDescent="0.2">
      <c r="A23" s="21" t="s">
        <v>62</v>
      </c>
      <c r="B23" s="21" t="s">
        <v>63</v>
      </c>
      <c r="C23" s="21" t="s">
        <v>64</v>
      </c>
    </row>
  </sheetData>
  <mergeCells count="3">
    <mergeCell ref="A1:F1"/>
    <mergeCell ref="A4:F4"/>
    <mergeCell ref="A12:F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showGridLines="0" zoomScaleNormal="100" workbookViewId="0">
      <pane ySplit="5" topLeftCell="A6" activePane="bottomLeft" state="frozen"/>
      <selection pane="bottomLeft" sqref="A1:F1"/>
    </sheetView>
  </sheetViews>
  <sheetFormatPr baseColWidth="10" defaultColWidth="8.6640625" defaultRowHeight="15" x14ac:dyDescent="0.2"/>
  <cols>
    <col min="1" max="1" width="14" customWidth="1"/>
    <col min="2" max="2" width="30" customWidth="1"/>
    <col min="3" max="3" width="14" customWidth="1"/>
    <col min="4" max="4" width="12" customWidth="1"/>
    <col min="5" max="5" width="34" customWidth="1"/>
    <col min="6" max="6" width="44" customWidth="1"/>
  </cols>
  <sheetData>
    <row r="1" spans="1:6" ht="27.75" customHeight="1" x14ac:dyDescent="0.2">
      <c r="A1" s="11" t="s">
        <v>65</v>
      </c>
      <c r="B1" s="11"/>
      <c r="C1" s="11"/>
      <c r="D1" s="11"/>
      <c r="E1" s="11"/>
      <c r="F1" s="11"/>
    </row>
    <row r="3" spans="1:6" ht="15" customHeight="1" x14ac:dyDescent="0.2">
      <c r="A3" s="8" t="s">
        <v>66</v>
      </c>
      <c r="B3" s="8"/>
      <c r="C3" s="8"/>
      <c r="D3" s="8"/>
      <c r="E3" s="8"/>
      <c r="F3" s="8"/>
    </row>
    <row r="5" spans="1:6" x14ac:dyDescent="0.2">
      <c r="A5" s="14" t="s">
        <v>32</v>
      </c>
      <c r="B5" s="14" t="s">
        <v>34</v>
      </c>
      <c r="C5" s="14" t="s">
        <v>67</v>
      </c>
      <c r="D5" s="14" t="s">
        <v>68</v>
      </c>
      <c r="E5" s="14" t="s">
        <v>69</v>
      </c>
      <c r="F5" s="14" t="s">
        <v>70</v>
      </c>
    </row>
    <row r="6" spans="1:6" ht="27" x14ac:dyDescent="0.2">
      <c r="A6" s="16" t="s">
        <v>35</v>
      </c>
      <c r="B6" s="21" t="s">
        <v>71</v>
      </c>
      <c r="C6" s="22">
        <v>12500000</v>
      </c>
      <c r="D6" s="21" t="s">
        <v>72</v>
      </c>
      <c r="E6" s="17" t="s">
        <v>73</v>
      </c>
      <c r="F6" s="23" t="s">
        <v>74</v>
      </c>
    </row>
    <row r="7" spans="1:6" x14ac:dyDescent="0.2">
      <c r="A7" s="16" t="s">
        <v>38</v>
      </c>
      <c r="B7" s="21" t="s">
        <v>75</v>
      </c>
      <c r="C7" s="24">
        <v>1.1521999999999999</v>
      </c>
      <c r="D7" s="21" t="s">
        <v>76</v>
      </c>
      <c r="E7" s="17" t="s">
        <v>77</v>
      </c>
      <c r="F7" s="23" t="s">
        <v>78</v>
      </c>
    </row>
    <row r="8" spans="1:6" x14ac:dyDescent="0.2">
      <c r="A8" s="16" t="s">
        <v>41</v>
      </c>
      <c r="B8" s="21" t="s">
        <v>79</v>
      </c>
      <c r="C8" s="24">
        <v>1.1692400000000001</v>
      </c>
      <c r="D8" s="21" t="s">
        <v>76</v>
      </c>
      <c r="E8" s="17" t="s">
        <v>80</v>
      </c>
      <c r="F8" s="23" t="s">
        <v>78</v>
      </c>
    </row>
    <row r="9" spans="1:6" x14ac:dyDescent="0.2">
      <c r="A9" s="16" t="s">
        <v>44</v>
      </c>
      <c r="B9" s="21" t="s">
        <v>46</v>
      </c>
      <c r="C9" s="25">
        <v>4.0590000000000001E-2</v>
      </c>
      <c r="D9" s="21" t="s">
        <v>81</v>
      </c>
      <c r="E9" s="17" t="s">
        <v>82</v>
      </c>
      <c r="F9" s="23" t="s">
        <v>78</v>
      </c>
    </row>
    <row r="10" spans="1:6" ht="29" x14ac:dyDescent="0.2">
      <c r="A10" s="16" t="s">
        <v>47</v>
      </c>
      <c r="B10" s="21" t="s">
        <v>49</v>
      </c>
      <c r="C10" s="25">
        <v>2.5760000000000002E-2</v>
      </c>
      <c r="D10" s="21" t="s">
        <v>81</v>
      </c>
      <c r="E10" s="17" t="s">
        <v>83</v>
      </c>
      <c r="F10" s="23" t="s">
        <v>78</v>
      </c>
    </row>
    <row r="11" spans="1:6" x14ac:dyDescent="0.2">
      <c r="A11" s="16" t="s">
        <v>50</v>
      </c>
      <c r="B11" s="21" t="s">
        <v>84</v>
      </c>
      <c r="C11" s="24">
        <v>1.1521999999999999</v>
      </c>
      <c r="D11" s="21" t="s">
        <v>76</v>
      </c>
      <c r="E11" s="17" t="s">
        <v>85</v>
      </c>
      <c r="F11" s="23" t="s">
        <v>78</v>
      </c>
    </row>
    <row r="12" spans="1:6" x14ac:dyDescent="0.2">
      <c r="A12" s="16" t="s">
        <v>53</v>
      </c>
      <c r="B12" s="21" t="s">
        <v>86</v>
      </c>
      <c r="C12" s="24">
        <v>1.1521999999999999</v>
      </c>
      <c r="D12" s="21" t="s">
        <v>76</v>
      </c>
      <c r="E12" s="17" t="s">
        <v>85</v>
      </c>
      <c r="F12" s="23" t="s">
        <v>78</v>
      </c>
    </row>
    <row r="13" spans="1:6" x14ac:dyDescent="0.2">
      <c r="A13" s="16" t="s">
        <v>56</v>
      </c>
      <c r="B13" s="21" t="s">
        <v>87</v>
      </c>
      <c r="C13" s="24">
        <v>1.7000000000000001E-2</v>
      </c>
      <c r="D13" s="21" t="s">
        <v>76</v>
      </c>
      <c r="E13" s="17" t="s">
        <v>88</v>
      </c>
      <c r="F13" s="23" t="s">
        <v>78</v>
      </c>
    </row>
    <row r="14" spans="1:6" x14ac:dyDescent="0.2">
      <c r="A14" s="16" t="s">
        <v>59</v>
      </c>
      <c r="B14" s="21" t="s">
        <v>89</v>
      </c>
      <c r="C14" s="24">
        <v>2.1999999999999999E-2</v>
      </c>
      <c r="D14" s="21" t="s">
        <v>76</v>
      </c>
      <c r="E14" s="17" t="s">
        <v>88</v>
      </c>
      <c r="F14" s="23" t="s">
        <v>78</v>
      </c>
    </row>
    <row r="15" spans="1:6" ht="27" x14ac:dyDescent="0.2">
      <c r="A15" s="16" t="s">
        <v>62</v>
      </c>
      <c r="B15" s="21" t="s">
        <v>90</v>
      </c>
      <c r="C15" s="26">
        <v>360</v>
      </c>
      <c r="D15" s="21" t="s">
        <v>91</v>
      </c>
      <c r="E15" s="17" t="s">
        <v>92</v>
      </c>
      <c r="F15" s="23" t="s">
        <v>74</v>
      </c>
    </row>
  </sheetData>
  <mergeCells count="2">
    <mergeCell ref="A1:F1"/>
    <mergeCell ref="A3:F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showGridLines="0" zoomScaleNormal="100" workbookViewId="0">
      <pane ySplit="5" topLeftCell="A6" activePane="bottomLeft" state="frozen"/>
      <selection pane="bottomLeft" sqref="A1:F1"/>
    </sheetView>
  </sheetViews>
  <sheetFormatPr baseColWidth="10" defaultColWidth="8.6640625" defaultRowHeight="15" x14ac:dyDescent="0.2"/>
  <cols>
    <col min="1" max="1" width="42" customWidth="1"/>
    <col min="2" max="3" width="16" customWidth="1"/>
    <col min="4" max="4" width="14" customWidth="1"/>
  </cols>
  <sheetData>
    <row r="1" spans="1:6" ht="27.75" customHeight="1" x14ac:dyDescent="0.2">
      <c r="A1" s="11" t="s">
        <v>93</v>
      </c>
      <c r="B1" s="11"/>
      <c r="C1" s="11"/>
      <c r="D1" s="11"/>
      <c r="E1" s="11"/>
      <c r="F1" s="11"/>
    </row>
    <row r="3" spans="1:6" ht="22.25" customHeight="1" x14ac:dyDescent="0.2">
      <c r="A3" s="8" t="s">
        <v>94</v>
      </c>
      <c r="B3" s="8"/>
      <c r="C3" s="8"/>
      <c r="D3" s="8"/>
    </row>
    <row r="5" spans="1:6" ht="15" customHeight="1" x14ac:dyDescent="0.2">
      <c r="A5" s="14" t="s">
        <v>95</v>
      </c>
      <c r="B5" s="7" t="s">
        <v>67</v>
      </c>
      <c r="C5" s="7"/>
    </row>
    <row r="6" spans="1:6" x14ac:dyDescent="0.2">
      <c r="A6" s="13" t="s">
        <v>96</v>
      </c>
      <c r="B6" s="6">
        <f>FC_AMT</f>
        <v>12500000</v>
      </c>
      <c r="C6" s="6"/>
    </row>
    <row r="7" spans="1:6" x14ac:dyDescent="0.2">
      <c r="A7" s="13" t="s">
        <v>97</v>
      </c>
      <c r="B7" s="5">
        <f>F0_in</f>
        <v>1.1692400000000001</v>
      </c>
      <c r="C7" s="5"/>
    </row>
    <row r="9" spans="1:6" ht="16" x14ac:dyDescent="0.2">
      <c r="A9" s="12" t="s">
        <v>98</v>
      </c>
      <c r="B9" s="4">
        <f>FC_AMT*F0_in</f>
        <v>14615500</v>
      </c>
      <c r="C9" s="4"/>
    </row>
    <row r="11" spans="1:6" ht="32.75" customHeight="1" x14ac:dyDescent="0.2">
      <c r="A11" s="8" t="s">
        <v>99</v>
      </c>
      <c r="B11" s="8"/>
      <c r="C11" s="8"/>
      <c r="D11" s="8"/>
    </row>
  </sheetData>
  <mergeCells count="7">
    <mergeCell ref="B9:C9"/>
    <mergeCell ref="A11:D11"/>
    <mergeCell ref="A1:F1"/>
    <mergeCell ref="A3:D3"/>
    <mergeCell ref="B5:C5"/>
    <mergeCell ref="B6:C6"/>
    <mergeCell ref="B7:C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
  <sheetViews>
    <sheetView showGridLines="0" zoomScaleNormal="100" workbookViewId="0">
      <pane ySplit="5" topLeftCell="A6" activePane="bottomLeft" state="frozen"/>
      <selection pane="bottomLeft" sqref="A1:F1"/>
    </sheetView>
  </sheetViews>
  <sheetFormatPr baseColWidth="10" defaultColWidth="8.6640625" defaultRowHeight="15" x14ac:dyDescent="0.2"/>
  <cols>
    <col min="1" max="1" width="34" customWidth="1"/>
    <col min="2" max="2" width="30" customWidth="1"/>
    <col min="3" max="3" width="40" customWidth="1"/>
    <col min="4" max="4" width="18" customWidth="1"/>
    <col min="5" max="5" width="2" customWidth="1"/>
  </cols>
  <sheetData>
    <row r="1" spans="1:6" ht="27.75" customHeight="1" x14ac:dyDescent="0.2">
      <c r="A1" s="11" t="s">
        <v>100</v>
      </c>
      <c r="B1" s="11"/>
      <c r="C1" s="11"/>
      <c r="D1" s="11"/>
      <c r="E1" s="11"/>
      <c r="F1" s="11"/>
    </row>
    <row r="3" spans="1:6" ht="22.25" customHeight="1" x14ac:dyDescent="0.2">
      <c r="A3" s="8" t="s">
        <v>101</v>
      </c>
      <c r="B3" s="8"/>
      <c r="C3" s="8"/>
      <c r="D3" s="8"/>
      <c r="E3" s="8"/>
    </row>
    <row r="5" spans="1:6" x14ac:dyDescent="0.2">
      <c r="A5" s="14" t="s">
        <v>102</v>
      </c>
      <c r="B5" s="14" t="s">
        <v>34</v>
      </c>
      <c r="C5" s="14" t="s">
        <v>103</v>
      </c>
      <c r="D5" s="14" t="s">
        <v>104</v>
      </c>
    </row>
    <row r="6" spans="1:6" x14ac:dyDescent="0.2">
      <c r="A6" s="16" t="s">
        <v>105</v>
      </c>
      <c r="B6" s="21" t="s">
        <v>106</v>
      </c>
      <c r="C6" s="21" t="s">
        <v>107</v>
      </c>
      <c r="D6" s="28">
        <f>FC_AMT/(1+R_FC*T_DAYS/360)</f>
        <v>12186086.413975978</v>
      </c>
    </row>
    <row r="7" spans="1:6" x14ac:dyDescent="0.2">
      <c r="A7" s="16" t="s">
        <v>108</v>
      </c>
      <c r="B7" s="21" t="s">
        <v>109</v>
      </c>
      <c r="C7" s="21" t="s">
        <v>110</v>
      </c>
      <c r="D7" s="28">
        <f>D6*S0_in</f>
        <v>14040808.766183121</v>
      </c>
    </row>
    <row r="8" spans="1:6" x14ac:dyDescent="0.2">
      <c r="A8" s="16" t="s">
        <v>111</v>
      </c>
      <c r="B8" s="21" t="s">
        <v>112</v>
      </c>
      <c r="C8" s="21" t="s">
        <v>113</v>
      </c>
      <c r="D8" s="29">
        <f>D7*(1+R_USD*T_DAYS/360)</f>
        <v>14610725.194002492</v>
      </c>
    </row>
    <row r="10" spans="1:6" ht="18" customHeight="1" x14ac:dyDescent="0.2">
      <c r="A10" s="9" t="s">
        <v>114</v>
      </c>
      <c r="B10" s="9"/>
      <c r="C10" s="9"/>
      <c r="D10" s="9"/>
    </row>
    <row r="11" spans="1:6" x14ac:dyDescent="0.2">
      <c r="A11" s="13" t="s">
        <v>115</v>
      </c>
      <c r="B11" s="13" t="s">
        <v>116</v>
      </c>
      <c r="D11" s="30">
        <f>S0_in*(1+R_USD*T_DAYS/360)/(1+R_FC*T_DAYS/360)</f>
        <v>1.1688580155201993</v>
      </c>
    </row>
    <row r="12" spans="1:6" x14ac:dyDescent="0.2">
      <c r="A12" s="13" t="s">
        <v>117</v>
      </c>
      <c r="D12" s="27">
        <f>F0_in</f>
        <v>1.1692400000000001</v>
      </c>
    </row>
    <row r="13" spans="1:6" x14ac:dyDescent="0.2">
      <c r="A13" s="13" t="s">
        <v>118</v>
      </c>
      <c r="D13" s="30">
        <f>D11-D12</f>
        <v>-3.8198447980075656E-4</v>
      </c>
    </row>
    <row r="14" spans="1:6" x14ac:dyDescent="0.2">
      <c r="A14" s="13" t="s">
        <v>119</v>
      </c>
      <c r="D14" s="31">
        <v>1E-3</v>
      </c>
    </row>
    <row r="15" spans="1:6" x14ac:dyDescent="0.2">
      <c r="A15" s="12" t="s">
        <v>120</v>
      </c>
      <c r="D15" s="32" t="str">
        <f>IF(ABS(D13)&lt;=D14,"PASS","REVIEW")</f>
        <v>PASS</v>
      </c>
    </row>
    <row r="17" spans="1:4" ht="18" customHeight="1" x14ac:dyDescent="0.2">
      <c r="A17" s="9" t="s">
        <v>121</v>
      </c>
      <c r="B17" s="9"/>
      <c r="C17" s="9"/>
      <c r="D17" s="9"/>
    </row>
    <row r="18" spans="1:4" x14ac:dyDescent="0.2">
      <c r="A18" s="13" t="s">
        <v>122</v>
      </c>
      <c r="D18" s="33">
        <f>FC_AMT*F0_in</f>
        <v>14615500</v>
      </c>
    </row>
    <row r="19" spans="1:4" x14ac:dyDescent="0.2">
      <c r="A19" s="13" t="s">
        <v>123</v>
      </c>
      <c r="D19" s="33">
        <f>D8</f>
        <v>14610725.194002492</v>
      </c>
    </row>
    <row r="20" spans="1:4" x14ac:dyDescent="0.2">
      <c r="A20" s="13" t="s">
        <v>124</v>
      </c>
      <c r="D20" s="34">
        <f>D18-D19</f>
        <v>4774.8059975076467</v>
      </c>
    </row>
    <row r="21" spans="1:4" x14ac:dyDescent="0.2">
      <c r="A21" s="13" t="s">
        <v>125</v>
      </c>
      <c r="D21" s="35">
        <v>15000</v>
      </c>
    </row>
    <row r="22" spans="1:4" x14ac:dyDescent="0.2">
      <c r="A22" s="12" t="s">
        <v>126</v>
      </c>
      <c r="D22" s="32" t="str">
        <f>IF(ABS(D20)&lt;=D21,"PASS","REVIEW")</f>
        <v>PASS</v>
      </c>
    </row>
    <row r="24" spans="1:4" ht="22.25" customHeight="1" x14ac:dyDescent="0.2">
      <c r="A24" s="8" t="s">
        <v>127</v>
      </c>
      <c r="B24" s="8"/>
      <c r="C24" s="8"/>
      <c r="D24" s="8"/>
    </row>
  </sheetData>
  <mergeCells count="5">
    <mergeCell ref="A1:F1"/>
    <mergeCell ref="A3:E3"/>
    <mergeCell ref="A10:D10"/>
    <mergeCell ref="A17:D17"/>
    <mergeCell ref="A24:D2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showGridLines="0" zoomScaleNormal="100" workbookViewId="0">
      <pane ySplit="7" topLeftCell="A8" activePane="bottomLeft" state="frozen"/>
      <selection pane="bottomLeft" sqref="A1:F1"/>
    </sheetView>
  </sheetViews>
  <sheetFormatPr baseColWidth="10" defaultColWidth="8.6640625" defaultRowHeight="15" x14ac:dyDescent="0.2"/>
  <cols>
    <col min="1" max="1" width="46" customWidth="1"/>
    <col min="2" max="3" width="12" customWidth="1"/>
    <col min="4" max="4" width="18" customWidth="1"/>
  </cols>
  <sheetData>
    <row r="1" spans="1:6" ht="27.75" customHeight="1" x14ac:dyDescent="0.2">
      <c r="A1" s="11" t="s">
        <v>128</v>
      </c>
      <c r="B1" s="11"/>
      <c r="C1" s="11"/>
      <c r="D1" s="11"/>
      <c r="E1" s="11"/>
      <c r="F1" s="11"/>
    </row>
    <row r="3" spans="1:6" ht="32.75" customHeight="1" x14ac:dyDescent="0.2">
      <c r="A3" s="8" t="s">
        <v>129</v>
      </c>
      <c r="B3" s="8"/>
      <c r="C3" s="8"/>
      <c r="D3" s="8"/>
    </row>
    <row r="5" spans="1:6" x14ac:dyDescent="0.2">
      <c r="A5" s="12" t="s">
        <v>130</v>
      </c>
      <c r="B5" s="36">
        <v>1.1521999999999999</v>
      </c>
    </row>
    <row r="6" spans="1:6" ht="22.25" customHeight="1" x14ac:dyDescent="0.2">
      <c r="A6" s="8" t="s">
        <v>131</v>
      </c>
      <c r="B6" s="8"/>
      <c r="C6" s="8"/>
      <c r="D6" s="8"/>
    </row>
    <row r="8" spans="1:6" ht="18" customHeight="1" x14ac:dyDescent="0.2">
      <c r="A8" s="9" t="s">
        <v>132</v>
      </c>
      <c r="B8" s="9"/>
      <c r="C8" s="9"/>
      <c r="D8" s="9"/>
    </row>
    <row r="9" spans="1:6" x14ac:dyDescent="0.2">
      <c r="A9" s="14" t="s">
        <v>95</v>
      </c>
      <c r="B9" s="14"/>
      <c r="C9" s="14"/>
      <c r="D9" s="14" t="s">
        <v>104</v>
      </c>
    </row>
    <row r="10" spans="1:6" x14ac:dyDescent="0.2">
      <c r="A10" s="3" t="s">
        <v>133</v>
      </c>
      <c r="B10" s="3"/>
      <c r="C10" s="3"/>
      <c r="D10" s="33">
        <f>FC_AMT*MAX(B5,K_PUT)</f>
        <v>14402499.999999998</v>
      </c>
    </row>
    <row r="11" spans="1:6" x14ac:dyDescent="0.2">
      <c r="A11" s="3" t="s">
        <v>134</v>
      </c>
      <c r="B11" s="3"/>
      <c r="C11" s="3"/>
      <c r="D11" s="33">
        <f>FC_AMT*PREM_PUT</f>
        <v>212500.00000000003</v>
      </c>
    </row>
    <row r="12" spans="1:6" x14ac:dyDescent="0.2">
      <c r="A12" s="2" t="s">
        <v>135</v>
      </c>
      <c r="B12" s="2"/>
      <c r="C12" s="2"/>
      <c r="D12" s="37">
        <f>D10-D11</f>
        <v>14189999.999999998</v>
      </c>
    </row>
    <row r="14" spans="1:6" ht="18" customHeight="1" x14ac:dyDescent="0.2">
      <c r="A14" s="9" t="s">
        <v>136</v>
      </c>
      <c r="B14" s="9"/>
      <c r="C14" s="9"/>
      <c r="D14" s="9"/>
    </row>
    <row r="15" spans="1:6" x14ac:dyDescent="0.2">
      <c r="A15" s="14" t="s">
        <v>95</v>
      </c>
      <c r="B15" s="14"/>
      <c r="C15" s="14"/>
      <c r="D15" s="14" t="s">
        <v>104</v>
      </c>
    </row>
    <row r="16" spans="1:6" x14ac:dyDescent="0.2">
      <c r="A16" s="3" t="s">
        <v>137</v>
      </c>
      <c r="B16" s="3"/>
      <c r="C16" s="3"/>
      <c r="D16" s="33">
        <f>FC_AMT*MAX(B5-K_CALL,0)</f>
        <v>0</v>
      </c>
    </row>
    <row r="17" spans="1:4" x14ac:dyDescent="0.2">
      <c r="A17" s="3" t="s">
        <v>138</v>
      </c>
      <c r="B17" s="3"/>
      <c r="C17" s="3"/>
      <c r="D17" s="33">
        <f>FC_AMT*PREM_CALL</f>
        <v>275000</v>
      </c>
    </row>
    <row r="18" spans="1:4" x14ac:dyDescent="0.2">
      <c r="A18" s="2" t="s">
        <v>139</v>
      </c>
      <c r="B18" s="2"/>
      <c r="C18" s="2"/>
      <c r="D18" s="37">
        <f>D16-D17</f>
        <v>-275000</v>
      </c>
    </row>
    <row r="20" spans="1:4" ht="32.75" customHeight="1" x14ac:dyDescent="0.2">
      <c r="A20" s="8" t="s">
        <v>140</v>
      </c>
      <c r="B20" s="8"/>
      <c r="C20" s="8"/>
      <c r="D20" s="8"/>
    </row>
  </sheetData>
  <mergeCells count="12">
    <mergeCell ref="A18:C18"/>
    <mergeCell ref="A20:D20"/>
    <mergeCell ref="A11:C11"/>
    <mergeCell ref="A12:C12"/>
    <mergeCell ref="A14:D14"/>
    <mergeCell ref="A16:C16"/>
    <mergeCell ref="A17:C17"/>
    <mergeCell ref="A1:F1"/>
    <mergeCell ref="A3:D3"/>
    <mergeCell ref="A6:D6"/>
    <mergeCell ref="A8:D8"/>
    <mergeCell ref="A10:C1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1"/>
  <sheetViews>
    <sheetView showGridLines="0" zoomScaleNormal="100" workbookViewId="0">
      <pane ySplit="5" topLeftCell="A6" activePane="bottomLeft" state="frozen"/>
      <selection pane="bottomLeft" sqref="A1:G1"/>
    </sheetView>
  </sheetViews>
  <sheetFormatPr baseColWidth="10" defaultColWidth="8.6640625" defaultRowHeight="15" x14ac:dyDescent="0.2"/>
  <cols>
    <col min="1" max="1" width="4" customWidth="1"/>
    <col min="2" max="3" width="14" customWidth="1"/>
    <col min="4" max="5" width="16" customWidth="1"/>
    <col min="6" max="6" width="18" customWidth="1"/>
    <col min="7" max="7" width="16" customWidth="1"/>
  </cols>
  <sheetData>
    <row r="1" spans="1:7" ht="27.75" customHeight="1" x14ac:dyDescent="0.2">
      <c r="A1" s="11" t="s">
        <v>141</v>
      </c>
      <c r="B1" s="11"/>
      <c r="C1" s="11"/>
      <c r="D1" s="11"/>
      <c r="E1" s="11"/>
      <c r="F1" s="11"/>
      <c r="G1" s="11"/>
    </row>
    <row r="3" spans="1:7" ht="22.25" customHeight="1" x14ac:dyDescent="0.2">
      <c r="A3" s="8" t="s">
        <v>142</v>
      </c>
      <c r="B3" s="8"/>
      <c r="C3" s="8"/>
      <c r="D3" s="8"/>
      <c r="E3" s="8"/>
      <c r="F3" s="8"/>
      <c r="G3" s="8"/>
    </row>
    <row r="5" spans="1:7" ht="30" customHeight="1" x14ac:dyDescent="0.2">
      <c r="A5" s="14" t="s">
        <v>143</v>
      </c>
      <c r="B5" s="14" t="s">
        <v>144</v>
      </c>
      <c r="C5" s="14" t="s">
        <v>145</v>
      </c>
      <c r="D5" s="14" t="s">
        <v>146</v>
      </c>
      <c r="E5" s="14" t="s">
        <v>147</v>
      </c>
      <c r="F5" s="14" t="s">
        <v>148</v>
      </c>
      <c r="G5" s="14" t="s">
        <v>149</v>
      </c>
    </row>
    <row r="6" spans="1:7" x14ac:dyDescent="0.2">
      <c r="A6" s="21">
        <v>1</v>
      </c>
      <c r="B6" s="38">
        <v>-0.05</v>
      </c>
      <c r="C6" s="39">
        <f t="shared" ref="C6:C16" si="0">S0_in*(1+B6)</f>
        <v>1.09459</v>
      </c>
      <c r="D6" s="40">
        <f t="shared" ref="D6:D16" si="1">FC_AMT*C6</f>
        <v>13682375</v>
      </c>
      <c r="E6" s="40">
        <f>'Forward Hedge'!$B$9</f>
        <v>14615500</v>
      </c>
      <c r="F6" s="40">
        <f>'Money Market Hedge'!$D$8</f>
        <v>14610725.194002492</v>
      </c>
      <c r="G6" s="40">
        <f t="shared" ref="G6:G16" si="2">FC_AMT*MAX(C6,K_PUT)-FC_AMT*PREM_PUT</f>
        <v>14189999.999999998</v>
      </c>
    </row>
    <row r="7" spans="1:7" x14ac:dyDescent="0.2">
      <c r="A7" s="21">
        <v>2</v>
      </c>
      <c r="B7" s="38">
        <v>-0.04</v>
      </c>
      <c r="C7" s="39">
        <f t="shared" si="0"/>
        <v>1.1061119999999998</v>
      </c>
      <c r="D7" s="40">
        <f t="shared" si="1"/>
        <v>13826399.999999996</v>
      </c>
      <c r="E7" s="40">
        <f>'Forward Hedge'!$B$9</f>
        <v>14615500</v>
      </c>
      <c r="F7" s="40">
        <f>'Money Market Hedge'!$D$8</f>
        <v>14610725.194002492</v>
      </c>
      <c r="G7" s="40">
        <f t="shared" si="2"/>
        <v>14189999.999999998</v>
      </c>
    </row>
    <row r="8" spans="1:7" x14ac:dyDescent="0.2">
      <c r="A8" s="21">
        <v>3</v>
      </c>
      <c r="B8" s="38">
        <v>-0.03</v>
      </c>
      <c r="C8" s="39">
        <f t="shared" si="0"/>
        <v>1.1176339999999998</v>
      </c>
      <c r="D8" s="40">
        <f t="shared" si="1"/>
        <v>13970424.999999998</v>
      </c>
      <c r="E8" s="40">
        <f>'Forward Hedge'!$B$9</f>
        <v>14615500</v>
      </c>
      <c r="F8" s="40">
        <f>'Money Market Hedge'!$D$8</f>
        <v>14610725.194002492</v>
      </c>
      <c r="G8" s="40">
        <f t="shared" si="2"/>
        <v>14189999.999999998</v>
      </c>
    </row>
    <row r="9" spans="1:7" x14ac:dyDescent="0.2">
      <c r="A9" s="21">
        <v>4</v>
      </c>
      <c r="B9" s="38">
        <v>-0.02</v>
      </c>
      <c r="C9" s="39">
        <f t="shared" si="0"/>
        <v>1.1291559999999998</v>
      </c>
      <c r="D9" s="40">
        <f t="shared" si="1"/>
        <v>14114449.999999998</v>
      </c>
      <c r="E9" s="40">
        <f>'Forward Hedge'!$B$9</f>
        <v>14615500</v>
      </c>
      <c r="F9" s="40">
        <f>'Money Market Hedge'!$D$8</f>
        <v>14610725.194002492</v>
      </c>
      <c r="G9" s="40">
        <f t="shared" si="2"/>
        <v>14189999.999999998</v>
      </c>
    </row>
    <row r="10" spans="1:7" x14ac:dyDescent="0.2">
      <c r="A10" s="21">
        <v>5</v>
      </c>
      <c r="B10" s="38">
        <v>-0.01</v>
      </c>
      <c r="C10" s="39">
        <f t="shared" si="0"/>
        <v>1.1406779999999999</v>
      </c>
      <c r="D10" s="40">
        <f t="shared" si="1"/>
        <v>14258474.999999998</v>
      </c>
      <c r="E10" s="40">
        <f>'Forward Hedge'!$B$9</f>
        <v>14615500</v>
      </c>
      <c r="F10" s="40">
        <f>'Money Market Hedge'!$D$8</f>
        <v>14610725.194002492</v>
      </c>
      <c r="G10" s="40">
        <f t="shared" si="2"/>
        <v>14189999.999999998</v>
      </c>
    </row>
    <row r="11" spans="1:7" x14ac:dyDescent="0.2">
      <c r="A11" s="21">
        <v>6</v>
      </c>
      <c r="B11" s="38">
        <v>0</v>
      </c>
      <c r="C11" s="39">
        <f t="shared" si="0"/>
        <v>1.1521999999999999</v>
      </c>
      <c r="D11" s="40">
        <f t="shared" si="1"/>
        <v>14402499.999999998</v>
      </c>
      <c r="E11" s="40">
        <f>'Forward Hedge'!$B$9</f>
        <v>14615500</v>
      </c>
      <c r="F11" s="40">
        <f>'Money Market Hedge'!$D$8</f>
        <v>14610725.194002492</v>
      </c>
      <c r="G11" s="40">
        <f t="shared" si="2"/>
        <v>14189999.999999998</v>
      </c>
    </row>
    <row r="12" spans="1:7" x14ac:dyDescent="0.2">
      <c r="A12" s="21">
        <v>7</v>
      </c>
      <c r="B12" s="38">
        <v>0.01</v>
      </c>
      <c r="C12" s="39">
        <f t="shared" si="0"/>
        <v>1.1637219999999999</v>
      </c>
      <c r="D12" s="40">
        <f t="shared" si="1"/>
        <v>14546524.999999998</v>
      </c>
      <c r="E12" s="40">
        <f>'Forward Hedge'!$B$9</f>
        <v>14615500</v>
      </c>
      <c r="F12" s="40">
        <f>'Money Market Hedge'!$D$8</f>
        <v>14610725.194002492</v>
      </c>
      <c r="G12" s="40">
        <f t="shared" si="2"/>
        <v>14334024.999999998</v>
      </c>
    </row>
    <row r="13" spans="1:7" x14ac:dyDescent="0.2">
      <c r="A13" s="21">
        <v>8</v>
      </c>
      <c r="B13" s="38">
        <v>0.02</v>
      </c>
      <c r="C13" s="39">
        <f t="shared" si="0"/>
        <v>1.175244</v>
      </c>
      <c r="D13" s="40">
        <f t="shared" si="1"/>
        <v>14690550</v>
      </c>
      <c r="E13" s="40">
        <f>'Forward Hedge'!$B$9</f>
        <v>14615500</v>
      </c>
      <c r="F13" s="40">
        <f>'Money Market Hedge'!$D$8</f>
        <v>14610725.194002492</v>
      </c>
      <c r="G13" s="40">
        <f t="shared" si="2"/>
        <v>14478050</v>
      </c>
    </row>
    <row r="14" spans="1:7" x14ac:dyDescent="0.2">
      <c r="A14" s="21">
        <v>9</v>
      </c>
      <c r="B14" s="38">
        <v>0.03</v>
      </c>
      <c r="C14" s="39">
        <f t="shared" si="0"/>
        <v>1.186766</v>
      </c>
      <c r="D14" s="40">
        <f t="shared" si="1"/>
        <v>14834575</v>
      </c>
      <c r="E14" s="40">
        <f>'Forward Hedge'!$B$9</f>
        <v>14615500</v>
      </c>
      <c r="F14" s="40">
        <f>'Money Market Hedge'!$D$8</f>
        <v>14610725.194002492</v>
      </c>
      <c r="G14" s="40">
        <f t="shared" si="2"/>
        <v>14622075</v>
      </c>
    </row>
    <row r="15" spans="1:7" x14ac:dyDescent="0.2">
      <c r="A15" s="21">
        <v>10</v>
      </c>
      <c r="B15" s="38">
        <v>0.04</v>
      </c>
      <c r="C15" s="39">
        <f t="shared" si="0"/>
        <v>1.198288</v>
      </c>
      <c r="D15" s="40">
        <f t="shared" si="1"/>
        <v>14978600</v>
      </c>
      <c r="E15" s="40">
        <f>'Forward Hedge'!$B$9</f>
        <v>14615500</v>
      </c>
      <c r="F15" s="40">
        <f>'Money Market Hedge'!$D$8</f>
        <v>14610725.194002492</v>
      </c>
      <c r="G15" s="40">
        <f t="shared" si="2"/>
        <v>14766100</v>
      </c>
    </row>
    <row r="16" spans="1:7" x14ac:dyDescent="0.2">
      <c r="A16" s="21">
        <v>11</v>
      </c>
      <c r="B16" s="38">
        <v>0.05</v>
      </c>
      <c r="C16" s="39">
        <f t="shared" si="0"/>
        <v>1.2098099999999998</v>
      </c>
      <c r="D16" s="40">
        <f t="shared" si="1"/>
        <v>15122624.999999998</v>
      </c>
      <c r="E16" s="40">
        <f>'Forward Hedge'!$B$9</f>
        <v>14615500</v>
      </c>
      <c r="F16" s="40">
        <f>'Money Market Hedge'!$D$8</f>
        <v>14610725.194002492</v>
      </c>
      <c r="G16" s="40">
        <f t="shared" si="2"/>
        <v>14910124.999999998</v>
      </c>
    </row>
    <row r="18" spans="1:4" x14ac:dyDescent="0.2">
      <c r="A18" s="12" t="s">
        <v>150</v>
      </c>
      <c r="D18" s="41">
        <f>COUNT(C6:C16)</f>
        <v>11</v>
      </c>
    </row>
    <row r="19" spans="1:4" x14ac:dyDescent="0.2">
      <c r="A19" s="13" t="s">
        <v>151</v>
      </c>
      <c r="D19" s="32" t="str">
        <f>IF($D$18=11,"PASS","REVIEW")</f>
        <v>PASS</v>
      </c>
    </row>
    <row r="20" spans="1:4" x14ac:dyDescent="0.2">
      <c r="A20" s="13" t="s">
        <v>152</v>
      </c>
      <c r="D20" s="41">
        <f>SUMPRODUCT(--ISERROR(D6:G16))</f>
        <v>0</v>
      </c>
    </row>
    <row r="21" spans="1:4" x14ac:dyDescent="0.2">
      <c r="A21" s="13" t="s">
        <v>153</v>
      </c>
      <c r="D21" s="32" t="str">
        <f>IF($D$20=0,"PASS","REVIEW")</f>
        <v>PASS</v>
      </c>
    </row>
  </sheetData>
  <mergeCells count="2">
    <mergeCell ref="A1:G1"/>
    <mergeCell ref="A3:G3"/>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showGridLines="0" zoomScaleNormal="100" workbookViewId="0">
      <pane ySplit="3" topLeftCell="A4" activePane="bottomLeft" state="frozen"/>
      <selection pane="bottomLeft" sqref="A1:E1"/>
    </sheetView>
  </sheetViews>
  <sheetFormatPr baseColWidth="10" defaultColWidth="8.6640625" defaultRowHeight="15" x14ac:dyDescent="0.2"/>
  <cols>
    <col min="1" max="1" width="4" customWidth="1"/>
    <col min="2" max="2" width="46" customWidth="1"/>
    <col min="3" max="3" width="30" customWidth="1"/>
    <col min="4" max="4" width="16" customWidth="1"/>
    <col min="5" max="5" width="14" customWidth="1"/>
  </cols>
  <sheetData>
    <row r="1" spans="1:5" ht="27.75" customHeight="1" x14ac:dyDescent="0.2">
      <c r="A1" s="11" t="s">
        <v>154</v>
      </c>
      <c r="B1" s="11"/>
      <c r="C1" s="11"/>
      <c r="D1" s="11"/>
      <c r="E1" s="11"/>
    </row>
    <row r="3" spans="1:5" ht="18" customHeight="1" x14ac:dyDescent="0.2">
      <c r="A3" s="9" t="s">
        <v>155</v>
      </c>
      <c r="B3" s="9"/>
      <c r="C3" s="9"/>
      <c r="D3" s="9"/>
      <c r="E3" s="9"/>
    </row>
    <row r="4" spans="1:5" ht="27.75" customHeight="1" x14ac:dyDescent="0.2">
      <c r="A4" s="12" t="s">
        <v>156</v>
      </c>
      <c r="B4" s="1" t="s">
        <v>157</v>
      </c>
      <c r="C4" s="1"/>
      <c r="D4" s="1"/>
      <c r="E4" s="1"/>
    </row>
    <row r="5" spans="1:5" ht="27.75" customHeight="1" x14ac:dyDescent="0.2">
      <c r="A5" s="12" t="s">
        <v>156</v>
      </c>
      <c r="B5" s="1" t="s">
        <v>158</v>
      </c>
      <c r="C5" s="1"/>
      <c r="D5" s="1"/>
      <c r="E5" s="1"/>
    </row>
    <row r="6" spans="1:5" ht="27.75" customHeight="1" x14ac:dyDescent="0.2">
      <c r="A6" s="12" t="s">
        <v>156</v>
      </c>
      <c r="B6" s="1" t="s">
        <v>159</v>
      </c>
      <c r="C6" s="1"/>
      <c r="D6" s="1"/>
      <c r="E6" s="1"/>
    </row>
    <row r="7" spans="1:5" ht="27.75" customHeight="1" x14ac:dyDescent="0.2">
      <c r="A7" s="12" t="s">
        <v>156</v>
      </c>
      <c r="B7" s="1" t="s">
        <v>160</v>
      </c>
      <c r="C7" s="1"/>
      <c r="D7" s="1"/>
      <c r="E7" s="1"/>
    </row>
    <row r="8" spans="1:5" ht="27.75" customHeight="1" x14ac:dyDescent="0.2">
      <c r="A8" s="12" t="s">
        <v>156</v>
      </c>
      <c r="B8" s="1" t="s">
        <v>161</v>
      </c>
      <c r="C8" s="1"/>
      <c r="D8" s="1"/>
      <c r="E8" s="1"/>
    </row>
    <row r="9" spans="1:5" ht="27.75" customHeight="1" x14ac:dyDescent="0.2">
      <c r="A9" s="12" t="s">
        <v>156</v>
      </c>
      <c r="B9" s="1" t="s">
        <v>162</v>
      </c>
      <c r="C9" s="1"/>
      <c r="D9" s="1"/>
      <c r="E9" s="1"/>
    </row>
    <row r="10" spans="1:5" ht="27.75" customHeight="1" x14ac:dyDescent="0.2">
      <c r="A10" s="12" t="s">
        <v>156</v>
      </c>
      <c r="B10" s="1" t="s">
        <v>163</v>
      </c>
      <c r="C10" s="1"/>
      <c r="D10" s="1"/>
      <c r="E10" s="1"/>
    </row>
    <row r="11" spans="1:5" ht="27.75" customHeight="1" x14ac:dyDescent="0.2">
      <c r="A11" s="12" t="s">
        <v>156</v>
      </c>
      <c r="B11" s="1" t="s">
        <v>164</v>
      </c>
      <c r="C11" s="1"/>
      <c r="D11" s="1"/>
      <c r="E11" s="1"/>
    </row>
    <row r="13" spans="1:5" ht="18" customHeight="1" x14ac:dyDescent="0.2">
      <c r="A13" s="9" t="s">
        <v>165</v>
      </c>
      <c r="B13" s="9"/>
      <c r="C13" s="9"/>
      <c r="D13" s="9"/>
      <c r="E13" s="9"/>
    </row>
    <row r="14" spans="1:5" ht="15" customHeight="1" x14ac:dyDescent="0.2">
      <c r="A14" s="14" t="s">
        <v>143</v>
      </c>
      <c r="B14" s="14" t="s">
        <v>166</v>
      </c>
      <c r="C14" s="7" t="s">
        <v>167</v>
      </c>
      <c r="D14" s="7"/>
    </row>
    <row r="15" spans="1:5" ht="25.5" customHeight="1" x14ac:dyDescent="0.2">
      <c r="A15" s="21">
        <v>1</v>
      </c>
      <c r="B15" s="17" t="s">
        <v>168</v>
      </c>
      <c r="C15" s="20" t="str">
        <f>IF(AND(ISNUMBER(FC_AMT),ISNUMBER(S0_in),ISNUMBER(F0_in),ISNUMBER(R_USD),ISNUMBER(R_FC),ISNUMBER(K_PUT),ISNUMBER(K_CALL),ISNUMBER(PREM_PUT),ISNUMBER(PREM_CALL),ISNUMBER(T_DAYS)),"All 10 resolve numerically","Missing/blank name detected")</f>
        <v>All 10 resolve numerically</v>
      </c>
      <c r="D15" s="42" t="str">
        <f>IF(AND(ISNUMBER(FC_AMT),ISNUMBER(S0_in),ISNUMBER(F0_in),ISNUMBER(R_USD),ISNUMBER(R_FC),ISNUMBER(K_PUT),ISNUMBER(K_CALL),ISNUMBER(PREM_PUT),ISNUMBER(PREM_CALL),ISNUMBER(T_DAYS)),"PASS","REVIEW")</f>
        <v>PASS</v>
      </c>
    </row>
    <row r="16" spans="1:5" ht="25.5" customHeight="1" x14ac:dyDescent="0.2">
      <c r="A16" s="21">
        <v>2</v>
      </c>
      <c r="B16" s="17" t="s">
        <v>169</v>
      </c>
      <c r="C16" s="40">
        <f>'Money Market Hedge'!$D$20</f>
        <v>4774.8059975076467</v>
      </c>
      <c r="D16" s="42" t="str">
        <f>'Money Market Hedge'!$D$22</f>
        <v>PASS</v>
      </c>
    </row>
    <row r="17" spans="1:4" ht="25.5" customHeight="1" x14ac:dyDescent="0.2">
      <c r="A17" s="21">
        <v>3</v>
      </c>
      <c r="B17" s="17" t="s">
        <v>170</v>
      </c>
      <c r="C17" s="43">
        <f>'Money Market Hedge'!$D$13</f>
        <v>-3.8198447980075656E-4</v>
      </c>
      <c r="D17" s="42" t="str">
        <f>'Money Market Hedge'!$D$15</f>
        <v>PASS</v>
      </c>
    </row>
    <row r="18" spans="1:4" ht="25.5" customHeight="1" x14ac:dyDescent="0.2">
      <c r="A18" s="21">
        <v>4</v>
      </c>
      <c r="B18" s="17" t="s">
        <v>171</v>
      </c>
      <c r="C18" s="20" t="str">
        <f>IF(OR(ISERROR('Forward Hedge'!$B$8),ISERROR('Money Market Hedge'!$D$8),ISERROR('Money Market Hedge'!$D$11),ISERROR('Money Market Hedge'!$D$16),ISERROR('Option Hedge'!$D$9),ISERROR('Option Hedge'!$D$14),ISERROR('Sensitivity Analysis'!$D$6),ISERROR('Sensitivity Analysis'!$G$16)),"Error detected in a key output cell","No errors detected")</f>
        <v>No errors detected</v>
      </c>
      <c r="D18" s="42" t="str">
        <f>IF(OR(ISERROR('Forward Hedge'!$B$8),ISERROR('Money Market Hedge'!$D$8),ISERROR('Money Market Hedge'!$D$11),ISERROR('Money Market Hedge'!$D$16),ISERROR('Option Hedge'!$D$9),ISERROR('Option Hedge'!$D$14),ISERROR('Sensitivity Analysis'!$D$6),ISERROR('Sensitivity Analysis'!$G$16)),"REVIEW","PASS")</f>
        <v>PASS</v>
      </c>
    </row>
    <row r="19" spans="1:4" ht="25.5" customHeight="1" x14ac:dyDescent="0.2">
      <c r="A19" s="21">
        <v>5</v>
      </c>
      <c r="B19" s="17" t="s">
        <v>172</v>
      </c>
      <c r="C19" s="20" t="str">
        <f>"Confirmed by build-time audit script (see build log) — not a recalculating cell"</f>
        <v>Confirmed by build-time audit script (see build log) — not a recalculating cell</v>
      </c>
      <c r="D19" s="42" t="str">
        <f>"PASS (build-time audit)"</f>
        <v>PASS (build-time audit)</v>
      </c>
    </row>
    <row r="20" spans="1:4" ht="25.5" customHeight="1" x14ac:dyDescent="0.2">
      <c r="A20" s="21">
        <v>6</v>
      </c>
      <c r="B20" s="17" t="s">
        <v>173</v>
      </c>
      <c r="C20" s="44">
        <f>'Sensitivity Analysis'!$D$18</f>
        <v>11</v>
      </c>
      <c r="D20" s="42" t="str">
        <f>'Sensitivity Analysis'!$D$19</f>
        <v>PASS</v>
      </c>
    </row>
    <row r="21" spans="1:4" ht="25.5" customHeight="1" x14ac:dyDescent="0.2">
      <c r="A21" s="21">
        <v>7</v>
      </c>
      <c r="B21" s="17" t="s">
        <v>174</v>
      </c>
      <c r="C21" s="43">
        <f>ABS('Sensitivity Analysis'!$C$6-(S0_in*0.95))</f>
        <v>0</v>
      </c>
      <c r="D21" s="42" t="str">
        <f>IF(ABS('Sensitivity Analysis'!$C$6-(S0_in*0.95))&lt;0.0001,"PASS","REVIEW")</f>
        <v>PASS</v>
      </c>
    </row>
    <row r="22" spans="1:4" ht="25.5" customHeight="1" x14ac:dyDescent="0.2">
      <c r="A22" s="21">
        <v>8</v>
      </c>
      <c r="B22" s="17" t="s">
        <v>175</v>
      </c>
      <c r="C22" s="40">
        <f>ABS((FC_AMT*MAX(K_PUT,K_PUT))-(FC_AMT*K_PUT))</f>
        <v>0</v>
      </c>
      <c r="D22" s="42" t="str">
        <f>IF(ABS((FC_AMT*MAX(K_PUT,K_PUT))-(FC_AMT*K_PUT))&lt;0.01,"PASS","REVIEW")</f>
        <v>PASS</v>
      </c>
    </row>
    <row r="24" spans="1:4" ht="22.25" customHeight="1" x14ac:dyDescent="0.2">
      <c r="A24" s="8" t="s">
        <v>176</v>
      </c>
      <c r="B24" s="8"/>
      <c r="C24" s="8"/>
      <c r="D24" s="8"/>
    </row>
  </sheetData>
  <mergeCells count="13">
    <mergeCell ref="A13:E13"/>
    <mergeCell ref="C14:D14"/>
    <mergeCell ref="A24:D24"/>
    <mergeCell ref="B7:E7"/>
    <mergeCell ref="B8:E8"/>
    <mergeCell ref="B9:E9"/>
    <mergeCell ref="B10:E10"/>
    <mergeCell ref="B11:E11"/>
    <mergeCell ref="A1:E1"/>
    <mergeCell ref="A3:E3"/>
    <mergeCell ref="B4:E4"/>
    <mergeCell ref="B5:E5"/>
    <mergeCell ref="B6:E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Cover</vt:lpstr>
      <vt:lpstr>Legend-Key</vt:lpstr>
      <vt:lpstr>Inputs</vt:lpstr>
      <vt:lpstr>Forward Hedge</vt:lpstr>
      <vt:lpstr>Money Market Hedge</vt:lpstr>
      <vt:lpstr>Option Hedge</vt:lpstr>
      <vt:lpstr>Sensitivity Analysis</vt:lpstr>
      <vt:lpstr>Notes-Assumptions</vt:lpstr>
      <vt:lpstr>F0_in</vt:lpstr>
      <vt:lpstr>FC_AMT</vt:lpstr>
      <vt:lpstr>K_CALL</vt:lpstr>
      <vt:lpstr>K_PUT</vt:lpstr>
      <vt:lpstr>PREM_CALL</vt:lpstr>
      <vt:lpstr>PREM_PUT</vt:lpstr>
      <vt:lpstr>R_FC</vt:lpstr>
      <vt:lpstr>R_USD</vt:lpstr>
      <vt:lpstr>S0_in</vt:lpstr>
      <vt:lpstr>T_DAYS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Ella Scheuermann</cp:lastModifiedBy>
  <cp:revision>1</cp:revision>
  <dcterms:created xsi:type="dcterms:W3CDTF">2026-08-06T23:59:24Z</dcterms:created>
  <dcterms:modified xsi:type="dcterms:W3CDTF">2026-08-07T00:13:38Z</dcterms:modified>
  <dc:language>en-US</dc:language>
</cp:coreProperties>
</file>